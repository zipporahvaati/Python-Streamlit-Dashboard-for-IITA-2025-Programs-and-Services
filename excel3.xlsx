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cgiar-my.sharepoint.com/personal/s_lewis_cgiar_org/Documents/TAAT/R4D/KPIS/zippy/"/>
    </mc:Choice>
  </mc:AlternateContent>
  <xr:revisionPtr revIDLastSave="0" documentId="8_{14EBC02B-E870-4E03-9D2D-A0E0236827F9}" xr6:coauthVersionLast="47" xr6:coauthVersionMax="47" xr10:uidLastSave="{00000000-0000-0000-0000-000000000000}"/>
  <bookViews>
    <workbookView xWindow="-110" yWindow="-110" windowWidth="19420" windowHeight="10300" xr2:uid="{60C6FB9E-1B92-4818-B8F8-C10D82D4AFAC}"/>
  </bookViews>
  <sheets>
    <sheet name="Res, Cap &amp; Products – KPI #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P20" i="1" l="1"/>
  <c r="BJ20" i="1"/>
  <c r="BD20" i="1"/>
  <c r="AX20" i="1"/>
  <c r="AR20" i="1"/>
  <c r="AL20" i="1"/>
  <c r="AF20" i="1"/>
  <c r="Z20" i="1"/>
  <c r="T20" i="1"/>
  <c r="N20" i="1"/>
  <c r="B20" i="1"/>
  <c r="BP18" i="1"/>
  <c r="BJ18" i="1"/>
  <c r="AL18" i="1"/>
  <c r="AF18" i="1"/>
  <c r="Z18" i="1"/>
  <c r="T18" i="1"/>
  <c r="N18" i="1"/>
  <c r="H18" i="1"/>
  <c r="B18" i="1"/>
  <c r="AR17" i="1"/>
  <c r="AL17" i="1"/>
  <c r="AF17" i="1"/>
  <c r="Z17" i="1"/>
  <c r="T17" i="1"/>
</calcChain>
</file>

<file path=xl/sharedStrings.xml><?xml version="1.0" encoding="utf-8"?>
<sst xmlns="http://schemas.openxmlformats.org/spreadsheetml/2006/main" count="108" uniqueCount="38">
  <si>
    <t>IITA KPI Heat Map  |  KPI Count (#)  |  2025–2030</t>
  </si>
  <si>
    <t>Program</t>
  </si>
  <si>
    <t>K1  Papers (Thomson-indexed)</t>
  </si>
  <si>
    <t>K2  Papers per IRS</t>
  </si>
  <si>
    <t>K3  Thomson papers IF&gt;10</t>
  </si>
  <si>
    <t>K4  MSc/PhD Enrolled</t>
  </si>
  <si>
    <t>K5  MSc/PhD Defended</t>
  </si>
  <si>
    <t>K6  Extensionists Trained</t>
  </si>
  <si>
    <t>K7  NARS Trained</t>
  </si>
  <si>
    <t>K8  Varieties Released</t>
  </si>
  <si>
    <t>K9  Genetic Gain (%)</t>
  </si>
  <si>
    <t>K10  Crop Trust Compliance</t>
  </si>
  <si>
    <t>K11  TAAT e-Catalogue</t>
  </si>
  <si>
    <t>K12  Innovations – Partners</t>
  </si>
  <si>
    <t>2025</t>
  </si>
  <si>
    <t>2026</t>
  </si>
  <si>
    <t>2027</t>
  </si>
  <si>
    <t>2028</t>
  </si>
  <si>
    <t>2029</t>
  </si>
  <si>
    <t>2030</t>
  </si>
  <si>
    <t>Biotech</t>
  </si>
  <si>
    <t>Breeding</t>
  </si>
  <si>
    <t>Genebanks</t>
  </si>
  <si>
    <t>Seed System</t>
  </si>
  <si>
    <t>Plant Health</t>
  </si>
  <si>
    <t>Farming Systems</t>
  </si>
  <si>
    <t>NRM</t>
  </si>
  <si>
    <t>Mechanization</t>
  </si>
  <si>
    <t>FIAS</t>
  </si>
  <si>
    <t>GeYSI</t>
  </si>
  <si>
    <t>RCA</t>
  </si>
  <si>
    <t>Nutrition</t>
  </si>
  <si>
    <t>AVCM</t>
  </si>
  <si>
    <t>Annual total</t>
  </si>
  <si>
    <t>N/A</t>
  </si>
  <si>
    <t>Max</t>
  </si>
  <si>
    <t>Annual Target</t>
  </si>
  <si>
    <t>Per Program 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</si>
</sst>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  <numFmt numFmtId="166" formatCode="#,##0.0"/>
    <numFmt numFmtId="167" formatCode="0.0%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1F3864"/>
      <name val="Arial"/>
      <family val="2"/>
    </font>
    <font>
      <b/>
      <sz val="9"/>
      <color rgb="FF1F3864"/>
      <name val="Arial"/>
      <family val="2"/>
    </font>
    <font>
      <b/>
      <sz val="9"/>
      <color rgb="FFFFFFFF"/>
      <name val="Arial"/>
      <family val="2"/>
    </font>
    <font>
      <b/>
      <sz val="8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BFBFBF"/>
      <name val="Arial"/>
      <family val="2"/>
    </font>
    <font>
      <sz val="9"/>
      <color rgb="FF595959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BDD7EE"/>
      </patternFill>
    </fill>
    <fill>
      <patternFill patternType="solid">
        <fgColor rgb="FF203864"/>
      </patternFill>
    </fill>
    <fill>
      <patternFill patternType="solid">
        <fgColor rgb="FF1E75BC"/>
      </patternFill>
    </fill>
    <fill>
      <patternFill patternType="solid">
        <fgColor rgb="FF0F6E56"/>
      </patternFill>
    </fill>
    <fill>
      <patternFill patternType="solid">
        <fgColor rgb="FF3B6D11"/>
      </patternFill>
    </fill>
    <fill>
      <patternFill patternType="solid">
        <fgColor rgb="FF854F0B"/>
      </patternFill>
    </fill>
    <fill>
      <patternFill patternType="solid">
        <fgColor rgb="FF993556"/>
      </patternFill>
    </fill>
    <fill>
      <patternFill patternType="solid">
        <fgColor rgb="FF534AB7"/>
      </patternFill>
    </fill>
    <fill>
      <patternFill patternType="solid">
        <fgColor rgb="FFD6E4F7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EDEDED"/>
      </patternFill>
    </fill>
  </fills>
  <borders count="2">
    <border>
      <left/>
      <right/>
      <top/>
      <bottom/>
      <diagonal/>
    </border>
    <border>
      <left style="medium">
        <color rgb="FF595959"/>
      </left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0">
    <xf numFmtId="0" fontId="0" fillId="0" borderId="0" xfId="0"/>
    <xf numFmtId="0" fontId="2" fillId="0" borderId="0" xfId="0" applyFont="1" applyAlignment="1">
      <alignment horizontal="left" vertical="center"/>
    </xf>
    <xf numFmtId="164" fontId="0" fillId="0" borderId="0" xfId="1" applyNumberFormat="1" applyFont="1" applyAlignment="1">
      <alignment horizontal="left"/>
    </xf>
    <xf numFmtId="0" fontId="0" fillId="0" borderId="0" xfId="0" applyAlignment="1">
      <alignment horizontal="left"/>
    </xf>
    <xf numFmtId="164" fontId="0" fillId="0" borderId="0" xfId="1" applyNumberFormat="1" applyFont="1"/>
    <xf numFmtId="0" fontId="3" fillId="3" borderId="0" xfId="0" applyFont="1" applyFill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0" fillId="0" borderId="0" xfId="0" applyAlignment="1">
      <alignment horizontal="left"/>
    </xf>
    <xf numFmtId="0" fontId="4" fillId="4" borderId="1" xfId="0" applyFont="1" applyFill="1" applyBorder="1" applyAlignment="1">
      <alignment horizontal="center" vertical="center"/>
    </xf>
    <xf numFmtId="0" fontId="0" fillId="0" borderId="0" xfId="0"/>
    <xf numFmtId="164" fontId="5" fillId="5" borderId="1" xfId="1" applyNumberFormat="1" applyFont="1" applyFill="1" applyBorder="1" applyAlignment="1">
      <alignment horizontal="left" vertical="center"/>
    </xf>
    <xf numFmtId="0" fontId="5" fillId="6" borderId="0" xfId="0" applyFont="1" applyFill="1" applyAlignment="1">
      <alignment horizontal="left" vertical="center"/>
    </xf>
    <xf numFmtId="0" fontId="5" fillId="7" borderId="0" xfId="0" applyFont="1" applyFill="1" applyAlignment="1">
      <alignment horizontal="left" vertical="center"/>
    </xf>
    <xf numFmtId="0" fontId="5" fillId="8" borderId="0" xfId="0" applyFont="1" applyFill="1" applyAlignment="1">
      <alignment horizontal="left" vertical="center"/>
    </xf>
    <xf numFmtId="0" fontId="5" fillId="9" borderId="0" xfId="0" applyFont="1" applyFill="1" applyAlignment="1">
      <alignment horizontal="left" vertical="center"/>
    </xf>
    <xf numFmtId="0" fontId="5" fillId="10" borderId="0" xfId="0" applyFont="1" applyFill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0" fontId="5" fillId="6" borderId="0" xfId="0" applyFont="1" applyFill="1" applyAlignment="1">
      <alignment horizontal="center" vertical="center"/>
    </xf>
    <xf numFmtId="0" fontId="5" fillId="7" borderId="0" xfId="0" applyFont="1" applyFill="1" applyAlignment="1">
      <alignment horizontal="center" vertical="center"/>
    </xf>
    <xf numFmtId="0" fontId="5" fillId="8" borderId="0" xfId="0" applyFont="1" applyFill="1" applyAlignment="1">
      <alignment horizontal="center" vertical="center"/>
    </xf>
    <xf numFmtId="0" fontId="5" fillId="9" borderId="0" xfId="0" applyFont="1" applyFill="1" applyAlignment="1">
      <alignment horizontal="center" vertical="center"/>
    </xf>
    <xf numFmtId="0" fontId="5" fillId="10" borderId="0" xfId="0" applyFont="1" applyFill="1" applyAlignment="1">
      <alignment horizontal="center" vertical="center"/>
    </xf>
    <xf numFmtId="0" fontId="5" fillId="5" borderId="1" xfId="0" applyFont="1" applyFill="1" applyBorder="1" applyAlignment="1">
      <alignment vertical="center"/>
    </xf>
    <xf numFmtId="0" fontId="5" fillId="5" borderId="1" xfId="0" applyFont="1" applyFill="1" applyBorder="1" applyAlignment="1">
      <alignment horizontal="center" vertical="center"/>
    </xf>
    <xf numFmtId="164" fontId="5" fillId="5" borderId="1" xfId="1" applyNumberFormat="1" applyFont="1" applyFill="1" applyBorder="1" applyAlignment="1">
      <alignment horizontal="center" vertical="center"/>
    </xf>
    <xf numFmtId="0" fontId="3" fillId="11" borderId="0" xfId="0" applyFont="1" applyFill="1" applyAlignment="1">
      <alignment horizontal="left" vertical="center"/>
    </xf>
    <xf numFmtId="165" fontId="6" fillId="0" borderId="1" xfId="1" applyNumberFormat="1" applyFont="1" applyFill="1" applyBorder="1" applyAlignment="1">
      <alignment horizontal="left" vertical="center"/>
    </xf>
    <xf numFmtId="166" fontId="6" fillId="0" borderId="1" xfId="0" applyNumberFormat="1" applyFont="1" applyBorder="1" applyAlignment="1">
      <alignment horizontal="left" vertical="center"/>
    </xf>
    <xf numFmtId="0" fontId="7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left" vertical="center"/>
    </xf>
    <xf numFmtId="166" fontId="6" fillId="0" borderId="1" xfId="0" applyNumberFormat="1" applyFont="1" applyBorder="1" applyAlignment="1">
      <alignment vertical="center"/>
    </xf>
    <xf numFmtId="166" fontId="6" fillId="0" borderId="1" xfId="0" applyNumberFormat="1" applyFont="1" applyBorder="1" applyAlignment="1">
      <alignment horizontal="center" vertical="center"/>
    </xf>
    <xf numFmtId="166" fontId="6" fillId="12" borderId="1" xfId="0" applyNumberFormat="1" applyFont="1" applyFill="1" applyBorder="1" applyAlignment="1">
      <alignment horizontal="center" vertical="center"/>
    </xf>
    <xf numFmtId="4" fontId="6" fillId="0" borderId="1" xfId="0" applyNumberFormat="1" applyFont="1" applyBorder="1" applyAlignment="1">
      <alignment horizontal="center" vertical="center"/>
    </xf>
    <xf numFmtId="167" fontId="6" fillId="0" borderId="1" xfId="2" applyNumberFormat="1" applyFont="1" applyFill="1" applyBorder="1" applyAlignment="1">
      <alignment horizontal="center" vertical="center"/>
    </xf>
    <xf numFmtId="9" fontId="6" fillId="0" borderId="1" xfId="2" applyFont="1" applyFill="1" applyBorder="1" applyAlignment="1">
      <alignment horizontal="center" vertical="center"/>
    </xf>
    <xf numFmtId="0" fontId="8" fillId="13" borderId="0" xfId="0" applyFont="1" applyFill="1" applyAlignment="1">
      <alignment vertical="center"/>
    </xf>
    <xf numFmtId="164" fontId="8" fillId="13" borderId="1" xfId="1" applyNumberFormat="1" applyFont="1" applyFill="1" applyBorder="1" applyAlignment="1">
      <alignment vertical="center"/>
    </xf>
    <xf numFmtId="0" fontId="8" fillId="13" borderId="1" xfId="0" applyFont="1" applyFill="1" applyBorder="1" applyAlignment="1">
      <alignment vertical="center"/>
    </xf>
    <xf numFmtId="166" fontId="8" fillId="13" borderId="1" xfId="0" applyNumberFormat="1" applyFont="1" applyFill="1" applyBorder="1" applyAlignment="1">
      <alignment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3A326-557F-46A5-AEA8-D42BBCF0052C}">
  <dimension ref="A1:BU20"/>
  <sheetViews>
    <sheetView tabSelected="1" zoomScale="75" zoomScaleNormal="75" workbookViewId="0">
      <pane xSplit="1" ySplit="3" topLeftCell="H4" activePane="bottomRight" state="frozen"/>
      <selection pane="topRight"/>
      <selection pane="bottomLeft"/>
      <selection pane="bottomRight" activeCell="AI9" sqref="AI9"/>
    </sheetView>
  </sheetViews>
  <sheetFormatPr defaultRowHeight="14.5" x14ac:dyDescent="0.35"/>
  <cols>
    <col min="1" max="1" width="16" customWidth="1"/>
    <col min="2" max="2" width="5.7265625" style="2" customWidth="1"/>
    <col min="3" max="3" width="7.36328125" style="3" customWidth="1"/>
    <col min="4" max="4" width="7.453125" style="3" customWidth="1"/>
    <col min="5" max="5" width="7.08984375" style="3" customWidth="1"/>
    <col min="6" max="6" width="6.90625" style="3" customWidth="1"/>
    <col min="7" max="7" width="8.36328125" style="3" customWidth="1"/>
    <col min="8" max="8" width="4.81640625" style="3" customWidth="1"/>
    <col min="9" max="13" width="4.81640625" customWidth="1"/>
    <col min="14" max="19" width="4.81640625" style="3" customWidth="1"/>
    <col min="20" max="20" width="6.26953125" style="3" customWidth="1"/>
    <col min="21" max="25" width="4.81640625" style="3" customWidth="1"/>
    <col min="26" max="31" width="4.81640625" customWidth="1"/>
    <col min="32" max="32" width="7.08984375" style="3" customWidth="1"/>
    <col min="33" max="37" width="4.81640625" customWidth="1"/>
    <col min="38" max="38" width="7.453125" customWidth="1"/>
    <col min="39" max="55" width="4.81640625" customWidth="1"/>
    <col min="56" max="56" width="4.90625" style="4" customWidth="1"/>
    <col min="57" max="61" width="4.81640625" customWidth="1"/>
    <col min="62" max="62" width="5.26953125" customWidth="1"/>
    <col min="63" max="67" width="4.81640625" customWidth="1"/>
    <col min="68" max="68" width="6" customWidth="1"/>
    <col min="69" max="74" width="4.81640625" customWidth="1"/>
  </cols>
  <sheetData>
    <row r="1" spans="1:73" ht="22" customHeight="1" x14ac:dyDescent="0.35">
      <c r="A1" s="1" t="s">
        <v>0</v>
      </c>
    </row>
    <row r="2" spans="1:73" ht="28" customHeight="1" x14ac:dyDescent="0.35">
      <c r="A2" s="5" t="s">
        <v>1</v>
      </c>
      <c r="B2" s="6" t="s">
        <v>2</v>
      </c>
      <c r="C2" s="7"/>
      <c r="D2" s="7"/>
      <c r="E2" s="7"/>
      <c r="F2" s="7"/>
      <c r="G2" s="7"/>
      <c r="H2" s="8" t="s">
        <v>3</v>
      </c>
      <c r="I2" s="9"/>
      <c r="J2" s="9"/>
      <c r="K2" s="9"/>
      <c r="L2" s="9"/>
      <c r="M2" s="9"/>
      <c r="N2" s="6" t="s">
        <v>4</v>
      </c>
      <c r="O2" s="7"/>
      <c r="P2" s="7"/>
      <c r="Q2" s="7"/>
      <c r="R2" s="7"/>
      <c r="S2" s="7"/>
      <c r="T2" s="6" t="s">
        <v>5</v>
      </c>
      <c r="U2" s="7"/>
      <c r="V2" s="7"/>
      <c r="W2" s="7"/>
      <c r="X2" s="7"/>
      <c r="Y2" s="7"/>
      <c r="Z2" s="8" t="s">
        <v>6</v>
      </c>
      <c r="AA2" s="9"/>
      <c r="AB2" s="9"/>
      <c r="AC2" s="9"/>
      <c r="AD2" s="9"/>
      <c r="AE2" s="9"/>
      <c r="AF2" s="8" t="s">
        <v>7</v>
      </c>
      <c r="AG2" s="9"/>
      <c r="AH2" s="9"/>
      <c r="AI2" s="9"/>
      <c r="AJ2" s="9"/>
      <c r="AK2" s="9"/>
      <c r="AL2" s="8" t="s">
        <v>8</v>
      </c>
      <c r="AM2" s="9"/>
      <c r="AN2" s="9"/>
      <c r="AO2" s="9"/>
      <c r="AP2" s="9"/>
      <c r="AQ2" s="9"/>
      <c r="AR2" s="8" t="s">
        <v>9</v>
      </c>
      <c r="AS2" s="9"/>
      <c r="AT2" s="9"/>
      <c r="AU2" s="9"/>
      <c r="AV2" s="9"/>
      <c r="AW2" s="9"/>
      <c r="AX2" s="8" t="s">
        <v>10</v>
      </c>
      <c r="AY2" s="9"/>
      <c r="AZ2" s="9"/>
      <c r="BA2" s="9"/>
      <c r="BB2" s="9"/>
      <c r="BC2" s="9"/>
      <c r="BD2" s="8" t="s">
        <v>11</v>
      </c>
      <c r="BE2" s="9"/>
      <c r="BF2" s="9"/>
      <c r="BG2" s="9"/>
      <c r="BH2" s="9"/>
      <c r="BI2" s="9"/>
      <c r="BJ2" s="8" t="s">
        <v>12</v>
      </c>
      <c r="BK2" s="9"/>
      <c r="BL2" s="9"/>
      <c r="BM2" s="9"/>
      <c r="BN2" s="9"/>
      <c r="BO2" s="9"/>
      <c r="BP2" s="8" t="s">
        <v>13</v>
      </c>
      <c r="BQ2" s="9"/>
      <c r="BR2" s="9"/>
      <c r="BS2" s="9"/>
      <c r="BT2" s="9"/>
      <c r="BU2" s="9"/>
    </row>
    <row r="3" spans="1:73" ht="18" customHeight="1" x14ac:dyDescent="0.35">
      <c r="B3" s="10" t="s">
        <v>14</v>
      </c>
      <c r="C3" s="11" t="s">
        <v>15</v>
      </c>
      <c r="D3" s="12" t="s">
        <v>16</v>
      </c>
      <c r="E3" s="13" t="s">
        <v>17</v>
      </c>
      <c r="F3" s="14" t="s">
        <v>18</v>
      </c>
      <c r="G3" s="15" t="s">
        <v>19</v>
      </c>
      <c r="H3" s="16" t="s">
        <v>14</v>
      </c>
      <c r="I3" s="17" t="s">
        <v>15</v>
      </c>
      <c r="J3" s="18" t="s">
        <v>16</v>
      </c>
      <c r="K3" s="19" t="s">
        <v>17</v>
      </c>
      <c r="L3" s="20" t="s">
        <v>18</v>
      </c>
      <c r="M3" s="21" t="s">
        <v>19</v>
      </c>
      <c r="N3" s="16" t="s">
        <v>14</v>
      </c>
      <c r="O3" s="11" t="s">
        <v>15</v>
      </c>
      <c r="P3" s="12" t="s">
        <v>16</v>
      </c>
      <c r="Q3" s="13" t="s">
        <v>17</v>
      </c>
      <c r="R3" s="14" t="s">
        <v>18</v>
      </c>
      <c r="S3" s="15" t="s">
        <v>19</v>
      </c>
      <c r="T3" s="16" t="s">
        <v>14</v>
      </c>
      <c r="U3" s="11" t="s">
        <v>15</v>
      </c>
      <c r="V3" s="12" t="s">
        <v>16</v>
      </c>
      <c r="W3" s="13" t="s">
        <v>17</v>
      </c>
      <c r="X3" s="14" t="s">
        <v>18</v>
      </c>
      <c r="Y3" s="15" t="s">
        <v>19</v>
      </c>
      <c r="Z3" s="22" t="s">
        <v>14</v>
      </c>
      <c r="AA3" s="17" t="s">
        <v>15</v>
      </c>
      <c r="AB3" s="18" t="s">
        <v>16</v>
      </c>
      <c r="AC3" s="19" t="s">
        <v>17</v>
      </c>
      <c r="AD3" s="20" t="s">
        <v>18</v>
      </c>
      <c r="AE3" s="21" t="s">
        <v>19</v>
      </c>
      <c r="AF3" s="16" t="s">
        <v>14</v>
      </c>
      <c r="AG3" s="17" t="s">
        <v>15</v>
      </c>
      <c r="AH3" s="18" t="s">
        <v>16</v>
      </c>
      <c r="AI3" s="19" t="s">
        <v>17</v>
      </c>
      <c r="AJ3" s="20" t="s">
        <v>18</v>
      </c>
      <c r="AK3" s="21" t="s">
        <v>19</v>
      </c>
      <c r="AL3" s="23" t="s">
        <v>14</v>
      </c>
      <c r="AM3" s="17" t="s">
        <v>15</v>
      </c>
      <c r="AN3" s="18" t="s">
        <v>16</v>
      </c>
      <c r="AO3" s="19" t="s">
        <v>17</v>
      </c>
      <c r="AP3" s="20" t="s">
        <v>18</v>
      </c>
      <c r="AQ3" s="21" t="s">
        <v>19</v>
      </c>
      <c r="AR3" s="23" t="s">
        <v>14</v>
      </c>
      <c r="AS3" s="17" t="s">
        <v>15</v>
      </c>
      <c r="AT3" s="18" t="s">
        <v>16</v>
      </c>
      <c r="AU3" s="19" t="s">
        <v>17</v>
      </c>
      <c r="AV3" s="20" t="s">
        <v>18</v>
      </c>
      <c r="AW3" s="21" t="s">
        <v>19</v>
      </c>
      <c r="AX3" s="23" t="s">
        <v>14</v>
      </c>
      <c r="AY3" s="17" t="s">
        <v>15</v>
      </c>
      <c r="AZ3" s="18" t="s">
        <v>16</v>
      </c>
      <c r="BA3" s="19" t="s">
        <v>17</v>
      </c>
      <c r="BB3" s="20" t="s">
        <v>18</v>
      </c>
      <c r="BC3" s="21" t="s">
        <v>19</v>
      </c>
      <c r="BD3" s="24" t="s">
        <v>14</v>
      </c>
      <c r="BE3" s="17" t="s">
        <v>15</v>
      </c>
      <c r="BF3" s="18" t="s">
        <v>16</v>
      </c>
      <c r="BG3" s="19" t="s">
        <v>17</v>
      </c>
      <c r="BH3" s="20" t="s">
        <v>18</v>
      </c>
      <c r="BI3" s="21" t="s">
        <v>19</v>
      </c>
      <c r="BJ3" s="23" t="s">
        <v>14</v>
      </c>
      <c r="BK3" s="17" t="s">
        <v>15</v>
      </c>
      <c r="BL3" s="18" t="s">
        <v>16</v>
      </c>
      <c r="BM3" s="19" t="s">
        <v>17</v>
      </c>
      <c r="BN3" s="20" t="s">
        <v>18</v>
      </c>
      <c r="BO3" s="21" t="s">
        <v>19</v>
      </c>
      <c r="BP3" s="23" t="s">
        <v>14</v>
      </c>
      <c r="BQ3" s="17" t="s">
        <v>15</v>
      </c>
      <c r="BR3" s="18" t="s">
        <v>16</v>
      </c>
      <c r="BS3" s="19" t="s">
        <v>17</v>
      </c>
      <c r="BT3" s="20" t="s">
        <v>18</v>
      </c>
      <c r="BU3" s="21" t="s">
        <v>19</v>
      </c>
    </row>
    <row r="4" spans="1:73" ht="15" customHeight="1" x14ac:dyDescent="0.35">
      <c r="A4" s="25" t="s">
        <v>20</v>
      </c>
      <c r="B4" s="26">
        <v>22</v>
      </c>
      <c r="C4" s="26">
        <v>18</v>
      </c>
      <c r="D4" s="26">
        <v>29</v>
      </c>
      <c r="E4" s="26">
        <v>16</v>
      </c>
      <c r="F4" s="26">
        <v>18</v>
      </c>
      <c r="G4" s="26">
        <v>31</v>
      </c>
      <c r="H4" s="27">
        <v>8</v>
      </c>
      <c r="I4" s="28"/>
      <c r="J4" s="28"/>
      <c r="K4" s="28"/>
      <c r="L4" s="28"/>
      <c r="M4" s="28"/>
      <c r="N4" s="27">
        <v>1</v>
      </c>
      <c r="O4" s="29"/>
      <c r="P4" s="29"/>
      <c r="Q4" s="29"/>
      <c r="R4" s="29"/>
      <c r="S4" s="29"/>
      <c r="T4" s="27">
        <v>1</v>
      </c>
      <c r="U4" s="29"/>
      <c r="V4" s="29"/>
      <c r="W4" s="29"/>
      <c r="X4" s="29"/>
      <c r="Y4" s="29"/>
      <c r="Z4" s="30">
        <v>1</v>
      </c>
      <c r="AA4" s="28"/>
      <c r="AB4" s="28"/>
      <c r="AC4" s="28"/>
      <c r="AD4" s="28"/>
      <c r="AE4" s="28"/>
      <c r="AF4" s="27">
        <v>68</v>
      </c>
      <c r="AG4" s="28"/>
      <c r="AH4" s="28"/>
      <c r="AI4" s="28"/>
      <c r="AJ4" s="28"/>
      <c r="AK4" s="28"/>
      <c r="AL4" s="31">
        <v>184</v>
      </c>
      <c r="AM4" s="28"/>
      <c r="AN4" s="28"/>
      <c r="AO4" s="28"/>
      <c r="AP4" s="28"/>
      <c r="AQ4" s="28"/>
      <c r="AR4" s="32"/>
      <c r="AS4" s="28"/>
      <c r="AT4" s="28"/>
      <c r="AU4" s="28"/>
      <c r="AV4" s="28"/>
      <c r="AW4" s="28"/>
      <c r="AX4" s="32"/>
      <c r="AY4" s="28"/>
      <c r="AZ4" s="28"/>
      <c r="BA4" s="28"/>
      <c r="BB4" s="28"/>
      <c r="BC4" s="28"/>
      <c r="BD4" s="32"/>
      <c r="BE4" s="28"/>
      <c r="BF4" s="28"/>
      <c r="BG4" s="28"/>
      <c r="BH4" s="28"/>
      <c r="BI4" s="28"/>
      <c r="BJ4" s="33">
        <v>1</v>
      </c>
      <c r="BK4" s="28"/>
      <c r="BL4" s="28"/>
      <c r="BM4" s="28"/>
      <c r="BN4" s="28"/>
      <c r="BO4" s="28"/>
      <c r="BP4" s="33">
        <v>0</v>
      </c>
      <c r="BQ4" s="28"/>
      <c r="BR4" s="28"/>
      <c r="BS4" s="28"/>
      <c r="BT4" s="28"/>
      <c r="BU4" s="28"/>
    </row>
    <row r="5" spans="1:73" ht="15" customHeight="1" x14ac:dyDescent="0.35">
      <c r="A5" s="25" t="s">
        <v>21</v>
      </c>
      <c r="B5" s="26">
        <v>35</v>
      </c>
      <c r="C5" s="26">
        <v>20</v>
      </c>
      <c r="D5" s="26">
        <v>40</v>
      </c>
      <c r="E5" s="26">
        <v>23</v>
      </c>
      <c r="F5" s="26">
        <v>21</v>
      </c>
      <c r="G5" s="26">
        <v>17</v>
      </c>
      <c r="H5" s="27">
        <v>13</v>
      </c>
      <c r="I5" s="28"/>
      <c r="J5" s="28"/>
      <c r="K5" s="28"/>
      <c r="L5" s="28"/>
      <c r="M5" s="28"/>
      <c r="N5" s="27">
        <v>0</v>
      </c>
      <c r="O5" s="29"/>
      <c r="P5" s="29"/>
      <c r="Q5" s="29"/>
      <c r="R5" s="29"/>
      <c r="S5" s="29"/>
      <c r="T5" s="27">
        <v>24</v>
      </c>
      <c r="U5" s="29"/>
      <c r="V5" s="29"/>
      <c r="W5" s="29"/>
      <c r="X5" s="29"/>
      <c r="Y5" s="29"/>
      <c r="Z5" s="30">
        <v>28</v>
      </c>
      <c r="AA5" s="28"/>
      <c r="AB5" s="28"/>
      <c r="AC5" s="28"/>
      <c r="AD5" s="28"/>
      <c r="AE5" s="28"/>
      <c r="AF5" s="27">
        <v>108</v>
      </c>
      <c r="AG5" s="28"/>
      <c r="AH5" s="28"/>
      <c r="AI5" s="28"/>
      <c r="AJ5" s="28"/>
      <c r="AK5" s="28"/>
      <c r="AL5" s="31">
        <v>214</v>
      </c>
      <c r="AM5" s="28"/>
      <c r="AN5" s="28"/>
      <c r="AO5" s="28"/>
      <c r="AP5" s="28"/>
      <c r="AQ5" s="28"/>
      <c r="AR5" s="31">
        <v>15</v>
      </c>
      <c r="AS5" s="28"/>
      <c r="AT5" s="28"/>
      <c r="AU5" s="28"/>
      <c r="AV5" s="28"/>
      <c r="AW5" s="28"/>
      <c r="AX5" s="34">
        <v>1.4999999999999999E-2</v>
      </c>
      <c r="AY5" s="28"/>
      <c r="AZ5" s="28"/>
      <c r="BA5" s="28"/>
      <c r="BB5" s="28"/>
      <c r="BC5" s="28"/>
      <c r="BD5" s="32"/>
      <c r="BE5" s="28"/>
      <c r="BF5" s="28"/>
      <c r="BG5" s="28"/>
      <c r="BH5" s="28"/>
      <c r="BI5" s="28"/>
      <c r="BJ5" s="33">
        <v>8</v>
      </c>
      <c r="BK5" s="28"/>
      <c r="BL5" s="28"/>
      <c r="BM5" s="28"/>
      <c r="BN5" s="28"/>
      <c r="BO5" s="28"/>
      <c r="BP5" s="33">
        <v>0</v>
      </c>
      <c r="BQ5" s="28"/>
      <c r="BR5" s="28"/>
      <c r="BS5" s="28"/>
      <c r="BT5" s="28"/>
      <c r="BU5" s="28"/>
    </row>
    <row r="6" spans="1:73" ht="15" customHeight="1" x14ac:dyDescent="0.35">
      <c r="A6" s="25" t="s">
        <v>22</v>
      </c>
      <c r="B6" s="26">
        <v>9</v>
      </c>
      <c r="C6" s="26">
        <v>4</v>
      </c>
      <c r="D6" s="26">
        <v>9</v>
      </c>
      <c r="E6" s="26">
        <v>7</v>
      </c>
      <c r="F6" s="26">
        <v>8</v>
      </c>
      <c r="G6" s="26">
        <v>10</v>
      </c>
      <c r="H6" s="27">
        <v>6</v>
      </c>
      <c r="I6" s="28"/>
      <c r="J6" s="28"/>
      <c r="K6" s="28"/>
      <c r="L6" s="28"/>
      <c r="M6" s="28"/>
      <c r="N6" s="27">
        <v>0</v>
      </c>
      <c r="O6" s="29"/>
      <c r="P6" s="29"/>
      <c r="Q6" s="29"/>
      <c r="R6" s="29"/>
      <c r="S6" s="29"/>
      <c r="T6" s="27">
        <v>26</v>
      </c>
      <c r="U6" s="29"/>
      <c r="V6" s="29"/>
      <c r="W6" s="29"/>
      <c r="X6" s="29"/>
      <c r="Y6" s="29"/>
      <c r="Z6" s="30">
        <v>19</v>
      </c>
      <c r="AA6" s="28"/>
      <c r="AB6" s="28"/>
      <c r="AC6" s="28"/>
      <c r="AD6" s="28"/>
      <c r="AE6" s="28"/>
      <c r="AF6" s="27">
        <v>5</v>
      </c>
      <c r="AG6" s="28"/>
      <c r="AH6" s="28"/>
      <c r="AI6" s="28"/>
      <c r="AJ6" s="28"/>
      <c r="AK6" s="28"/>
      <c r="AL6" s="31">
        <v>113</v>
      </c>
      <c r="AM6" s="28"/>
      <c r="AN6" s="28"/>
      <c r="AO6" s="28"/>
      <c r="AP6" s="28"/>
      <c r="AQ6" s="28"/>
      <c r="AR6" s="32"/>
      <c r="AS6" s="28"/>
      <c r="AT6" s="28"/>
      <c r="AU6" s="28"/>
      <c r="AV6" s="28"/>
      <c r="AW6" s="28"/>
      <c r="AX6" s="32"/>
      <c r="AY6" s="28"/>
      <c r="AZ6" s="28"/>
      <c r="BA6" s="28"/>
      <c r="BB6" s="28"/>
      <c r="BC6" s="28"/>
      <c r="BD6" s="35">
        <v>1</v>
      </c>
      <c r="BE6" s="28"/>
      <c r="BF6" s="28"/>
      <c r="BG6" s="28"/>
      <c r="BH6" s="28"/>
      <c r="BI6" s="28"/>
      <c r="BJ6" s="33">
        <v>0</v>
      </c>
      <c r="BK6" s="28"/>
      <c r="BL6" s="28"/>
      <c r="BM6" s="28"/>
      <c r="BN6" s="28"/>
      <c r="BO6" s="28"/>
      <c r="BP6" s="33">
        <v>0</v>
      </c>
      <c r="BQ6" s="28"/>
      <c r="BR6" s="28"/>
      <c r="BS6" s="28"/>
      <c r="BT6" s="28"/>
      <c r="BU6" s="28"/>
    </row>
    <row r="7" spans="1:73" ht="15" customHeight="1" x14ac:dyDescent="0.35">
      <c r="A7" s="25" t="s">
        <v>23</v>
      </c>
      <c r="B7" s="26">
        <v>8</v>
      </c>
      <c r="C7" s="26">
        <v>6</v>
      </c>
      <c r="D7" s="26">
        <v>4</v>
      </c>
      <c r="E7" s="26">
        <v>11</v>
      </c>
      <c r="F7" s="26">
        <v>5</v>
      </c>
      <c r="G7" s="26">
        <v>11</v>
      </c>
      <c r="H7" s="27">
        <v>5</v>
      </c>
      <c r="I7" s="28"/>
      <c r="J7" s="28"/>
      <c r="K7" s="28"/>
      <c r="L7" s="28"/>
      <c r="M7" s="28"/>
      <c r="N7" s="27">
        <v>0</v>
      </c>
      <c r="O7" s="29"/>
      <c r="P7" s="29"/>
      <c r="Q7" s="29"/>
      <c r="R7" s="29"/>
      <c r="S7" s="29"/>
      <c r="T7" s="27">
        <v>5</v>
      </c>
      <c r="U7" s="29"/>
      <c r="V7" s="29"/>
      <c r="W7" s="29"/>
      <c r="X7" s="29"/>
      <c r="Y7" s="29"/>
      <c r="Z7" s="30">
        <v>7</v>
      </c>
      <c r="AA7" s="28"/>
      <c r="AB7" s="28"/>
      <c r="AC7" s="28"/>
      <c r="AD7" s="28"/>
      <c r="AE7" s="28"/>
      <c r="AF7" s="27">
        <v>2247</v>
      </c>
      <c r="AG7" s="28"/>
      <c r="AH7" s="28"/>
      <c r="AI7" s="28"/>
      <c r="AJ7" s="28"/>
      <c r="AK7" s="28"/>
      <c r="AL7" s="31">
        <v>309</v>
      </c>
      <c r="AM7" s="28"/>
      <c r="AN7" s="28"/>
      <c r="AO7" s="28"/>
      <c r="AP7" s="28"/>
      <c r="AQ7" s="28"/>
      <c r="AR7" s="32"/>
      <c r="AS7" s="28"/>
      <c r="AT7" s="28"/>
      <c r="AU7" s="28"/>
      <c r="AV7" s="28"/>
      <c r="AW7" s="28"/>
      <c r="AX7" s="32"/>
      <c r="AY7" s="28"/>
      <c r="AZ7" s="28"/>
      <c r="BA7" s="28"/>
      <c r="BB7" s="28"/>
      <c r="BC7" s="28"/>
      <c r="BD7" s="32"/>
      <c r="BE7" s="28"/>
      <c r="BF7" s="28"/>
      <c r="BG7" s="28"/>
      <c r="BH7" s="28"/>
      <c r="BI7" s="28"/>
      <c r="BJ7" s="33">
        <v>17</v>
      </c>
      <c r="BK7" s="28"/>
      <c r="BL7" s="28"/>
      <c r="BM7" s="28"/>
      <c r="BN7" s="28"/>
      <c r="BO7" s="28"/>
      <c r="BP7" s="33">
        <v>61</v>
      </c>
      <c r="BQ7" s="28"/>
      <c r="BR7" s="28"/>
      <c r="BS7" s="28"/>
      <c r="BT7" s="28"/>
      <c r="BU7" s="28"/>
    </row>
    <row r="8" spans="1:73" ht="15" customHeight="1" x14ac:dyDescent="0.35">
      <c r="A8" s="25" t="s">
        <v>24</v>
      </c>
      <c r="B8" s="26">
        <v>56</v>
      </c>
      <c r="C8" s="26">
        <v>5</v>
      </c>
      <c r="D8" s="26">
        <v>48</v>
      </c>
      <c r="E8" s="26">
        <v>62</v>
      </c>
      <c r="F8" s="26">
        <v>44</v>
      </c>
      <c r="G8" s="26">
        <v>26</v>
      </c>
      <c r="H8" s="27">
        <v>4.666666666666667</v>
      </c>
      <c r="I8" s="28"/>
      <c r="J8" s="28"/>
      <c r="K8" s="28"/>
      <c r="L8" s="28"/>
      <c r="M8" s="28"/>
      <c r="N8" s="27">
        <v>1</v>
      </c>
      <c r="O8" s="29"/>
      <c r="P8" s="29"/>
      <c r="Q8" s="29"/>
      <c r="R8" s="29"/>
      <c r="S8" s="29"/>
      <c r="T8" s="27">
        <v>9</v>
      </c>
      <c r="U8" s="29"/>
      <c r="V8" s="29"/>
      <c r="W8" s="29"/>
      <c r="X8" s="29"/>
      <c r="Y8" s="29"/>
      <c r="Z8" s="30">
        <v>9</v>
      </c>
      <c r="AA8" s="28"/>
      <c r="AB8" s="28"/>
      <c r="AC8" s="28"/>
      <c r="AD8" s="28"/>
      <c r="AE8" s="28"/>
      <c r="AF8" s="27">
        <v>102</v>
      </c>
      <c r="AG8" s="28"/>
      <c r="AH8" s="28"/>
      <c r="AI8" s="28"/>
      <c r="AJ8" s="28"/>
      <c r="AK8" s="28"/>
      <c r="AL8" s="31">
        <v>10</v>
      </c>
      <c r="AM8" s="28"/>
      <c r="AN8" s="28"/>
      <c r="AO8" s="28"/>
      <c r="AP8" s="28"/>
      <c r="AQ8" s="28"/>
      <c r="AR8" s="32"/>
      <c r="AS8" s="28"/>
      <c r="AT8" s="28"/>
      <c r="AU8" s="28"/>
      <c r="AV8" s="28"/>
      <c r="AW8" s="28"/>
      <c r="AX8" s="32"/>
      <c r="AY8" s="28"/>
      <c r="AZ8" s="28"/>
      <c r="BA8" s="28"/>
      <c r="BB8" s="28"/>
      <c r="BC8" s="28"/>
      <c r="BD8" s="32"/>
      <c r="BE8" s="28"/>
      <c r="BF8" s="28"/>
      <c r="BG8" s="28"/>
      <c r="BH8" s="28"/>
      <c r="BI8" s="28"/>
      <c r="BJ8" s="33">
        <v>6</v>
      </c>
      <c r="BK8" s="28"/>
      <c r="BL8" s="28"/>
      <c r="BM8" s="28"/>
      <c r="BN8" s="28"/>
      <c r="BO8" s="28"/>
      <c r="BP8" s="33">
        <v>0</v>
      </c>
      <c r="BQ8" s="28"/>
      <c r="BR8" s="28"/>
      <c r="BS8" s="28"/>
      <c r="BT8" s="28"/>
      <c r="BU8" s="28"/>
    </row>
    <row r="9" spans="1:73" ht="15" customHeight="1" x14ac:dyDescent="0.35">
      <c r="A9" s="25" t="s">
        <v>25</v>
      </c>
      <c r="B9" s="26">
        <v>13</v>
      </c>
      <c r="C9" s="26">
        <v>13</v>
      </c>
      <c r="D9" s="26">
        <v>45</v>
      </c>
      <c r="E9" s="26">
        <v>11</v>
      </c>
      <c r="F9" s="26">
        <v>6</v>
      </c>
      <c r="G9" s="26">
        <v>4</v>
      </c>
      <c r="H9" s="27">
        <v>9</v>
      </c>
      <c r="I9" s="28"/>
      <c r="J9" s="28"/>
      <c r="K9" s="28"/>
      <c r="L9" s="28"/>
      <c r="M9" s="28"/>
      <c r="N9" s="27">
        <v>1</v>
      </c>
      <c r="O9" s="29"/>
      <c r="P9" s="29"/>
      <c r="Q9" s="29"/>
      <c r="R9" s="29"/>
      <c r="S9" s="29"/>
      <c r="T9" s="27">
        <v>22</v>
      </c>
      <c r="U9" s="29"/>
      <c r="V9" s="29"/>
      <c r="W9" s="29"/>
      <c r="X9" s="29"/>
      <c r="Y9" s="29"/>
      <c r="Z9" s="30">
        <v>14</v>
      </c>
      <c r="AA9" s="28"/>
      <c r="AB9" s="28"/>
      <c r="AC9" s="28"/>
      <c r="AD9" s="28"/>
      <c r="AE9" s="28"/>
      <c r="AF9" s="27">
        <v>3185</v>
      </c>
      <c r="AG9" s="28"/>
      <c r="AH9" s="28"/>
      <c r="AI9" s="28"/>
      <c r="AJ9" s="28"/>
      <c r="AK9" s="28"/>
      <c r="AL9" s="31">
        <v>233</v>
      </c>
      <c r="AM9" s="28"/>
      <c r="AN9" s="28"/>
      <c r="AO9" s="28"/>
      <c r="AP9" s="28"/>
      <c r="AQ9" s="28"/>
      <c r="AR9" s="32"/>
      <c r="AS9" s="28"/>
      <c r="AT9" s="28"/>
      <c r="AU9" s="28"/>
      <c r="AV9" s="28"/>
      <c r="AW9" s="28"/>
      <c r="AX9" s="32"/>
      <c r="AY9" s="28"/>
      <c r="AZ9" s="28"/>
      <c r="BA9" s="28"/>
      <c r="BB9" s="28"/>
      <c r="BC9" s="28"/>
      <c r="BD9" s="32"/>
      <c r="BE9" s="28"/>
      <c r="BF9" s="28"/>
      <c r="BG9" s="28"/>
      <c r="BH9" s="28"/>
      <c r="BI9" s="28"/>
      <c r="BJ9" s="33">
        <v>1</v>
      </c>
      <c r="BK9" s="28"/>
      <c r="BL9" s="28"/>
      <c r="BM9" s="28"/>
      <c r="BN9" s="28"/>
      <c r="BO9" s="28"/>
      <c r="BP9" s="33">
        <v>17</v>
      </c>
      <c r="BQ9" s="28"/>
      <c r="BR9" s="28"/>
      <c r="BS9" s="28"/>
      <c r="BT9" s="28"/>
      <c r="BU9" s="28"/>
    </row>
    <row r="10" spans="1:73" ht="15" customHeight="1" x14ac:dyDescent="0.35">
      <c r="A10" s="25" t="s">
        <v>26</v>
      </c>
      <c r="B10" s="26">
        <v>30</v>
      </c>
      <c r="C10" s="26">
        <v>18</v>
      </c>
      <c r="D10" s="26">
        <v>21</v>
      </c>
      <c r="E10" s="26">
        <v>26</v>
      </c>
      <c r="F10" s="26">
        <v>26</v>
      </c>
      <c r="G10" s="26">
        <v>31</v>
      </c>
      <c r="H10" s="27">
        <v>15</v>
      </c>
      <c r="I10" s="28"/>
      <c r="J10" s="28"/>
      <c r="K10" s="28"/>
      <c r="L10" s="28"/>
      <c r="M10" s="28"/>
      <c r="N10" s="27">
        <v>2</v>
      </c>
      <c r="O10" s="29"/>
      <c r="P10" s="29"/>
      <c r="Q10" s="29"/>
      <c r="R10" s="29"/>
      <c r="S10" s="29"/>
      <c r="T10" s="27">
        <v>7</v>
      </c>
      <c r="U10" s="29"/>
      <c r="V10" s="29"/>
      <c r="W10" s="29"/>
      <c r="X10" s="29"/>
      <c r="Y10" s="29"/>
      <c r="Z10" s="30">
        <v>3</v>
      </c>
      <c r="AA10" s="28"/>
      <c r="AB10" s="28"/>
      <c r="AC10" s="28"/>
      <c r="AD10" s="28"/>
      <c r="AE10" s="28"/>
      <c r="AF10" s="27">
        <v>3754</v>
      </c>
      <c r="AG10" s="28"/>
      <c r="AH10" s="28"/>
      <c r="AI10" s="28"/>
      <c r="AJ10" s="28"/>
      <c r="AK10" s="28"/>
      <c r="AL10" s="31">
        <v>20</v>
      </c>
      <c r="AM10" s="28"/>
      <c r="AN10" s="28"/>
      <c r="AO10" s="28"/>
      <c r="AP10" s="28"/>
      <c r="AQ10" s="28"/>
      <c r="AR10" s="32"/>
      <c r="AS10" s="28"/>
      <c r="AT10" s="28"/>
      <c r="AU10" s="28"/>
      <c r="AV10" s="28"/>
      <c r="AW10" s="28"/>
      <c r="AX10" s="32"/>
      <c r="AY10" s="28"/>
      <c r="AZ10" s="28"/>
      <c r="BA10" s="28"/>
      <c r="BB10" s="28"/>
      <c r="BC10" s="28"/>
      <c r="BD10" s="32"/>
      <c r="BE10" s="28"/>
      <c r="BF10" s="28"/>
      <c r="BG10" s="28"/>
      <c r="BH10" s="28"/>
      <c r="BI10" s="28"/>
      <c r="BJ10" s="33">
        <v>10</v>
      </c>
      <c r="BK10" s="28"/>
      <c r="BL10" s="28"/>
      <c r="BM10" s="28"/>
      <c r="BN10" s="28"/>
      <c r="BO10" s="28"/>
      <c r="BP10" s="33">
        <v>17</v>
      </c>
      <c r="BQ10" s="28"/>
      <c r="BR10" s="28"/>
      <c r="BS10" s="28"/>
      <c r="BT10" s="28"/>
      <c r="BU10" s="28"/>
    </row>
    <row r="11" spans="1:73" ht="15" customHeight="1" x14ac:dyDescent="0.35">
      <c r="A11" s="25" t="s">
        <v>27</v>
      </c>
      <c r="B11" s="26">
        <v>1</v>
      </c>
      <c r="C11" s="26">
        <v>1</v>
      </c>
      <c r="D11" s="26">
        <v>0</v>
      </c>
      <c r="E11" s="26">
        <v>5</v>
      </c>
      <c r="F11" s="26">
        <v>3</v>
      </c>
      <c r="G11" s="26">
        <v>5</v>
      </c>
      <c r="H11" s="27">
        <v>18</v>
      </c>
      <c r="I11" s="28"/>
      <c r="J11" s="28"/>
      <c r="K11" s="28"/>
      <c r="L11" s="28"/>
      <c r="M11" s="28"/>
      <c r="N11" s="27">
        <v>0</v>
      </c>
      <c r="O11" s="29"/>
      <c r="P11" s="29"/>
      <c r="Q11" s="29"/>
      <c r="R11" s="29"/>
      <c r="S11" s="29"/>
      <c r="T11" s="27">
        <v>2</v>
      </c>
      <c r="U11" s="29"/>
      <c r="V11" s="29"/>
      <c r="W11" s="29"/>
      <c r="X11" s="29"/>
      <c r="Y11" s="29"/>
      <c r="Z11" s="30">
        <v>1</v>
      </c>
      <c r="AA11" s="28"/>
      <c r="AB11" s="28"/>
      <c r="AC11" s="28"/>
      <c r="AD11" s="28"/>
      <c r="AE11" s="28"/>
      <c r="AF11" s="27">
        <v>0</v>
      </c>
      <c r="AG11" s="28"/>
      <c r="AH11" s="28"/>
      <c r="AI11" s="28"/>
      <c r="AJ11" s="28"/>
      <c r="AK11" s="28"/>
      <c r="AL11" s="31">
        <v>0</v>
      </c>
      <c r="AM11" s="28"/>
      <c r="AN11" s="28"/>
      <c r="AO11" s="28"/>
      <c r="AP11" s="28"/>
      <c r="AQ11" s="28"/>
      <c r="AR11" s="32"/>
      <c r="AS11" s="28"/>
      <c r="AT11" s="28"/>
      <c r="AU11" s="28"/>
      <c r="AV11" s="28"/>
      <c r="AW11" s="28"/>
      <c r="AX11" s="32"/>
      <c r="AY11" s="28"/>
      <c r="AZ11" s="28"/>
      <c r="BA11" s="28"/>
      <c r="BB11" s="28"/>
      <c r="BC11" s="28"/>
      <c r="BD11" s="32"/>
      <c r="BE11" s="28"/>
      <c r="BF11" s="28"/>
      <c r="BG11" s="28"/>
      <c r="BH11" s="28"/>
      <c r="BI11" s="28"/>
      <c r="BJ11" s="33">
        <v>3</v>
      </c>
      <c r="BK11" s="28"/>
      <c r="BL11" s="28"/>
      <c r="BM11" s="28"/>
      <c r="BN11" s="28"/>
      <c r="BO11" s="28"/>
      <c r="BP11" s="33">
        <v>0</v>
      </c>
      <c r="BQ11" s="28"/>
      <c r="BR11" s="28"/>
      <c r="BS11" s="28"/>
      <c r="BT11" s="28"/>
      <c r="BU11" s="28"/>
    </row>
    <row r="12" spans="1:73" ht="15" customHeight="1" x14ac:dyDescent="0.35">
      <c r="A12" s="25" t="s">
        <v>28</v>
      </c>
      <c r="B12" s="26">
        <v>4</v>
      </c>
      <c r="C12" s="26">
        <v>3</v>
      </c>
      <c r="D12" s="26">
        <v>3</v>
      </c>
      <c r="E12" s="26">
        <v>4</v>
      </c>
      <c r="F12" s="26">
        <v>2</v>
      </c>
      <c r="G12" s="26">
        <v>7</v>
      </c>
      <c r="H12" s="27">
        <v>5</v>
      </c>
      <c r="I12" s="28"/>
      <c r="J12" s="28"/>
      <c r="K12" s="28"/>
      <c r="L12" s="28"/>
      <c r="M12" s="28"/>
      <c r="N12" s="27">
        <v>0</v>
      </c>
      <c r="O12" s="29"/>
      <c r="P12" s="29"/>
      <c r="Q12" s="29"/>
      <c r="R12" s="29"/>
      <c r="S12" s="29"/>
      <c r="T12" s="27">
        <v>5</v>
      </c>
      <c r="U12" s="29"/>
      <c r="V12" s="29"/>
      <c r="W12" s="29"/>
      <c r="X12" s="29"/>
      <c r="Y12" s="29"/>
      <c r="Z12" s="30">
        <v>5</v>
      </c>
      <c r="AA12" s="28"/>
      <c r="AB12" s="28"/>
      <c r="AC12" s="28"/>
      <c r="AD12" s="28"/>
      <c r="AE12" s="28"/>
      <c r="AF12" s="27">
        <v>94</v>
      </c>
      <c r="AG12" s="28"/>
      <c r="AH12" s="28"/>
      <c r="AI12" s="28"/>
      <c r="AJ12" s="28"/>
      <c r="AK12" s="28"/>
      <c r="AL12" s="31">
        <v>109</v>
      </c>
      <c r="AM12" s="28"/>
      <c r="AN12" s="28"/>
      <c r="AO12" s="28"/>
      <c r="AP12" s="28"/>
      <c r="AQ12" s="28"/>
      <c r="AR12" s="32"/>
      <c r="AS12" s="28"/>
      <c r="AT12" s="28"/>
      <c r="AU12" s="28"/>
      <c r="AV12" s="28"/>
      <c r="AW12" s="28"/>
      <c r="AX12" s="32"/>
      <c r="AY12" s="28"/>
      <c r="AZ12" s="28"/>
      <c r="BA12" s="28"/>
      <c r="BB12" s="28"/>
      <c r="BC12" s="28"/>
      <c r="BD12" s="32"/>
      <c r="BE12" s="28"/>
      <c r="BF12" s="28"/>
      <c r="BG12" s="28"/>
      <c r="BH12" s="28"/>
      <c r="BI12" s="28"/>
      <c r="BJ12" s="33">
        <v>0</v>
      </c>
      <c r="BK12" s="28"/>
      <c r="BL12" s="28"/>
      <c r="BM12" s="28"/>
      <c r="BN12" s="28"/>
      <c r="BO12" s="28"/>
      <c r="BP12" s="33">
        <v>0</v>
      </c>
      <c r="BQ12" s="28"/>
      <c r="BR12" s="28"/>
      <c r="BS12" s="28"/>
      <c r="BT12" s="28"/>
      <c r="BU12" s="28"/>
    </row>
    <row r="13" spans="1:73" ht="15" customHeight="1" x14ac:dyDescent="0.35">
      <c r="A13" s="25" t="s">
        <v>29</v>
      </c>
      <c r="B13" s="26">
        <v>8</v>
      </c>
      <c r="C13" s="26">
        <v>9</v>
      </c>
      <c r="D13" s="26">
        <v>9</v>
      </c>
      <c r="E13" s="26">
        <v>8</v>
      </c>
      <c r="F13" s="26">
        <v>8</v>
      </c>
      <c r="G13" s="26">
        <v>10</v>
      </c>
      <c r="H13" s="27">
        <v>15</v>
      </c>
      <c r="I13" s="28"/>
      <c r="J13" s="28"/>
      <c r="K13" s="28"/>
      <c r="L13" s="28"/>
      <c r="M13" s="28"/>
      <c r="N13" s="27">
        <v>0</v>
      </c>
      <c r="O13" s="29"/>
      <c r="P13" s="29"/>
      <c r="Q13" s="29"/>
      <c r="R13" s="29"/>
      <c r="S13" s="29"/>
      <c r="T13" s="27">
        <v>4</v>
      </c>
      <c r="U13" s="29"/>
      <c r="V13" s="29"/>
      <c r="W13" s="29"/>
      <c r="X13" s="29"/>
      <c r="Y13" s="29"/>
      <c r="Z13" s="30">
        <v>3</v>
      </c>
      <c r="AA13" s="28"/>
      <c r="AB13" s="28"/>
      <c r="AC13" s="28"/>
      <c r="AD13" s="28"/>
      <c r="AE13" s="28"/>
      <c r="AF13" s="27">
        <v>1912</v>
      </c>
      <c r="AG13" s="28"/>
      <c r="AH13" s="28"/>
      <c r="AI13" s="28"/>
      <c r="AJ13" s="28"/>
      <c r="AK13" s="28"/>
      <c r="AL13" s="31">
        <v>156</v>
      </c>
      <c r="AM13" s="28"/>
      <c r="AN13" s="28"/>
      <c r="AO13" s="28"/>
      <c r="AP13" s="28"/>
      <c r="AQ13" s="28"/>
      <c r="AR13" s="32"/>
      <c r="AS13" s="28"/>
      <c r="AT13" s="28"/>
      <c r="AU13" s="28"/>
      <c r="AV13" s="28"/>
      <c r="AW13" s="28"/>
      <c r="AX13" s="32"/>
      <c r="AY13" s="28"/>
      <c r="AZ13" s="28"/>
      <c r="BA13" s="28"/>
      <c r="BB13" s="28"/>
      <c r="BC13" s="28"/>
      <c r="BD13" s="32"/>
      <c r="BE13" s="28"/>
      <c r="BF13" s="28"/>
      <c r="BG13" s="28"/>
      <c r="BH13" s="28"/>
      <c r="BI13" s="28"/>
      <c r="BJ13" s="33">
        <v>0</v>
      </c>
      <c r="BK13" s="28"/>
      <c r="BL13" s="28"/>
      <c r="BM13" s="28"/>
      <c r="BN13" s="28"/>
      <c r="BO13" s="28"/>
      <c r="BP13" s="33">
        <v>10</v>
      </c>
      <c r="BQ13" s="28"/>
      <c r="BR13" s="28"/>
      <c r="BS13" s="28"/>
      <c r="BT13" s="28"/>
      <c r="BU13" s="28"/>
    </row>
    <row r="14" spans="1:73" ht="15" customHeight="1" x14ac:dyDescent="0.35">
      <c r="A14" s="25" t="s">
        <v>30</v>
      </c>
      <c r="B14" s="26">
        <v>11</v>
      </c>
      <c r="C14" s="26">
        <v>12</v>
      </c>
      <c r="D14" s="26">
        <v>4</v>
      </c>
      <c r="E14" s="26">
        <v>5</v>
      </c>
      <c r="F14" s="26">
        <v>7</v>
      </c>
      <c r="G14" s="26">
        <v>8</v>
      </c>
      <c r="H14" s="27">
        <v>7</v>
      </c>
      <c r="I14" s="28"/>
      <c r="J14" s="28"/>
      <c r="K14" s="28"/>
      <c r="L14" s="28"/>
      <c r="M14" s="28"/>
      <c r="N14" s="27">
        <v>1</v>
      </c>
      <c r="O14" s="29"/>
      <c r="P14" s="29"/>
      <c r="Q14" s="29"/>
      <c r="R14" s="29"/>
      <c r="S14" s="29"/>
      <c r="T14" s="27">
        <v>1</v>
      </c>
      <c r="U14" s="29"/>
      <c r="V14" s="29"/>
      <c r="W14" s="29"/>
      <c r="X14" s="29"/>
      <c r="Y14" s="29"/>
      <c r="Z14" s="30">
        <v>2</v>
      </c>
      <c r="AA14" s="28"/>
      <c r="AB14" s="28"/>
      <c r="AC14" s="28"/>
      <c r="AD14" s="28"/>
      <c r="AE14" s="28"/>
      <c r="AF14" s="27">
        <v>0</v>
      </c>
      <c r="AG14" s="28"/>
      <c r="AH14" s="28"/>
      <c r="AI14" s="28"/>
      <c r="AJ14" s="28"/>
      <c r="AK14" s="28"/>
      <c r="AL14" s="31">
        <v>0</v>
      </c>
      <c r="AM14" s="28"/>
      <c r="AN14" s="28"/>
      <c r="AO14" s="28"/>
      <c r="AP14" s="28"/>
      <c r="AQ14" s="28"/>
      <c r="AR14" s="32"/>
      <c r="AS14" s="28"/>
      <c r="AT14" s="28"/>
      <c r="AU14" s="28"/>
      <c r="AV14" s="28"/>
      <c r="AW14" s="28"/>
      <c r="AX14" s="32"/>
      <c r="AY14" s="28"/>
      <c r="AZ14" s="28"/>
      <c r="BA14" s="28"/>
      <c r="BB14" s="28"/>
      <c r="BC14" s="28"/>
      <c r="BD14" s="32"/>
      <c r="BE14" s="28"/>
      <c r="BF14" s="28"/>
      <c r="BG14" s="28"/>
      <c r="BH14" s="28"/>
      <c r="BI14" s="28"/>
      <c r="BJ14" s="33">
        <v>0</v>
      </c>
      <c r="BK14" s="28"/>
      <c r="BL14" s="28"/>
      <c r="BM14" s="28"/>
      <c r="BN14" s="28"/>
      <c r="BO14" s="28"/>
      <c r="BP14" s="33">
        <v>1</v>
      </c>
      <c r="BQ14" s="28"/>
      <c r="BR14" s="28"/>
      <c r="BS14" s="28"/>
      <c r="BT14" s="28"/>
      <c r="BU14" s="28"/>
    </row>
    <row r="15" spans="1:73" ht="15" customHeight="1" x14ac:dyDescent="0.35">
      <c r="A15" s="25" t="s">
        <v>31</v>
      </c>
      <c r="B15" s="26">
        <v>14</v>
      </c>
      <c r="C15" s="26">
        <v>16</v>
      </c>
      <c r="D15" s="26">
        <v>5</v>
      </c>
      <c r="E15" s="26">
        <v>6</v>
      </c>
      <c r="F15" s="26">
        <v>9</v>
      </c>
      <c r="G15" s="26">
        <v>10</v>
      </c>
      <c r="H15" s="27">
        <v>7</v>
      </c>
      <c r="I15" s="28"/>
      <c r="J15" s="28"/>
      <c r="K15" s="28"/>
      <c r="L15" s="28"/>
      <c r="M15" s="28"/>
      <c r="N15" s="27">
        <v>0</v>
      </c>
      <c r="O15" s="29"/>
      <c r="P15" s="29"/>
      <c r="Q15" s="29"/>
      <c r="R15" s="29"/>
      <c r="S15" s="29"/>
      <c r="T15" s="27">
        <v>2</v>
      </c>
      <c r="U15" s="29"/>
      <c r="V15" s="29"/>
      <c r="W15" s="29"/>
      <c r="X15" s="29"/>
      <c r="Y15" s="29"/>
      <c r="Z15" s="30">
        <v>8</v>
      </c>
      <c r="AA15" s="28"/>
      <c r="AB15" s="28"/>
      <c r="AC15" s="28"/>
      <c r="AD15" s="28"/>
      <c r="AE15" s="28"/>
      <c r="AF15" s="27">
        <v>130</v>
      </c>
      <c r="AG15" s="28"/>
      <c r="AH15" s="28"/>
      <c r="AI15" s="28"/>
      <c r="AJ15" s="28"/>
      <c r="AK15" s="28"/>
      <c r="AL15" s="31">
        <v>15</v>
      </c>
      <c r="AM15" s="28"/>
      <c r="AN15" s="28"/>
      <c r="AO15" s="28"/>
      <c r="AP15" s="28"/>
      <c r="AQ15" s="28"/>
      <c r="AR15" s="32"/>
      <c r="AS15" s="28"/>
      <c r="AT15" s="28"/>
      <c r="AU15" s="28"/>
      <c r="AV15" s="28"/>
      <c r="AW15" s="28"/>
      <c r="AX15" s="32"/>
      <c r="AY15" s="28"/>
      <c r="AZ15" s="28"/>
      <c r="BA15" s="28"/>
      <c r="BB15" s="28"/>
      <c r="BC15" s="28"/>
      <c r="BD15" s="32"/>
      <c r="BE15" s="28"/>
      <c r="BF15" s="28"/>
      <c r="BG15" s="28"/>
      <c r="BH15" s="28"/>
      <c r="BI15" s="28"/>
      <c r="BJ15" s="33">
        <v>0</v>
      </c>
      <c r="BK15" s="28"/>
      <c r="BL15" s="28"/>
      <c r="BM15" s="28"/>
      <c r="BN15" s="28"/>
      <c r="BO15" s="28"/>
      <c r="BP15" s="33">
        <v>0</v>
      </c>
      <c r="BQ15" s="28"/>
      <c r="BR15" s="28"/>
      <c r="BS15" s="28"/>
      <c r="BT15" s="28"/>
      <c r="BU15" s="28"/>
    </row>
    <row r="16" spans="1:73" ht="13" customHeight="1" x14ac:dyDescent="0.35">
      <c r="A16" s="25" t="s">
        <v>32</v>
      </c>
      <c r="B16" s="26">
        <v>10</v>
      </c>
      <c r="C16" s="26">
        <v>13</v>
      </c>
      <c r="D16" s="26">
        <v>15</v>
      </c>
      <c r="E16" s="26">
        <v>11</v>
      </c>
      <c r="F16" s="26">
        <v>16</v>
      </c>
      <c r="G16" s="26">
        <v>14</v>
      </c>
      <c r="H16" s="27">
        <v>4</v>
      </c>
      <c r="I16" s="28"/>
      <c r="J16" s="28"/>
      <c r="K16" s="28"/>
      <c r="L16" s="28"/>
      <c r="M16" s="28"/>
      <c r="N16" s="27">
        <v>0</v>
      </c>
      <c r="O16" s="29"/>
      <c r="P16" s="29"/>
      <c r="Q16" s="29"/>
      <c r="R16" s="29"/>
      <c r="S16" s="29"/>
      <c r="T16" s="27">
        <v>5</v>
      </c>
      <c r="U16" s="29"/>
      <c r="V16" s="29"/>
      <c r="W16" s="29"/>
      <c r="X16" s="29"/>
      <c r="Y16" s="29"/>
      <c r="Z16" s="30">
        <v>3</v>
      </c>
      <c r="AA16" s="28"/>
      <c r="AB16" s="28"/>
      <c r="AC16" s="28"/>
      <c r="AD16" s="28"/>
      <c r="AE16" s="28"/>
      <c r="AF16" s="27">
        <v>1007</v>
      </c>
      <c r="AG16" s="28"/>
      <c r="AH16" s="28"/>
      <c r="AI16" s="28"/>
      <c r="AJ16" s="28"/>
      <c r="AK16" s="28"/>
      <c r="AL16" s="31">
        <v>81</v>
      </c>
      <c r="AM16" s="28"/>
      <c r="AN16" s="28"/>
      <c r="AO16" s="28"/>
      <c r="AP16" s="28"/>
      <c r="AQ16" s="28"/>
      <c r="AR16" s="32"/>
      <c r="AS16" s="28"/>
      <c r="AT16" s="28"/>
      <c r="AU16" s="28"/>
      <c r="AV16" s="28"/>
      <c r="AW16" s="28"/>
      <c r="AX16" s="32"/>
      <c r="AY16" s="28"/>
      <c r="AZ16" s="28"/>
      <c r="BA16" s="28"/>
      <c r="BB16" s="28"/>
      <c r="BC16" s="28"/>
      <c r="BD16" s="32"/>
      <c r="BE16" s="28"/>
      <c r="BF16" s="28"/>
      <c r="BG16" s="28"/>
      <c r="BH16" s="28"/>
      <c r="BI16" s="28"/>
      <c r="BJ16" s="33">
        <v>5</v>
      </c>
      <c r="BK16" s="28"/>
      <c r="BL16" s="28"/>
      <c r="BM16" s="28"/>
      <c r="BN16" s="28"/>
      <c r="BO16" s="28"/>
      <c r="BP16" s="33">
        <v>2</v>
      </c>
      <c r="BQ16" s="28"/>
      <c r="BR16" s="28"/>
      <c r="BS16" s="28"/>
      <c r="BT16" s="28"/>
      <c r="BU16" s="28"/>
    </row>
    <row r="17" spans="1:73" ht="14" customHeight="1" x14ac:dyDescent="0.35">
      <c r="A17" s="36" t="s">
        <v>33</v>
      </c>
      <c r="B17" s="37">
        <v>220</v>
      </c>
      <c r="C17" s="36"/>
      <c r="D17" s="36"/>
      <c r="E17" s="36"/>
      <c r="F17" s="36"/>
      <c r="G17" s="36"/>
      <c r="H17" s="38"/>
      <c r="I17" s="36"/>
      <c r="J17" s="36"/>
      <c r="K17" s="36"/>
      <c r="L17" s="36"/>
      <c r="M17" s="36"/>
      <c r="N17" s="38"/>
      <c r="O17" s="36"/>
      <c r="P17" s="36"/>
      <c r="Q17" s="36"/>
      <c r="R17" s="36"/>
      <c r="S17" s="36"/>
      <c r="T17" s="38">
        <f>SUM(T4:T16)</f>
        <v>113</v>
      </c>
      <c r="U17" s="36"/>
      <c r="V17" s="36"/>
      <c r="W17" s="36"/>
      <c r="X17" s="36"/>
      <c r="Y17" s="36"/>
      <c r="Z17" s="38">
        <f>SUM(Z4:Z16)</f>
        <v>103</v>
      </c>
      <c r="AA17" s="36"/>
      <c r="AB17" s="36"/>
      <c r="AC17" s="36"/>
      <c r="AD17" s="36"/>
      <c r="AE17" s="36"/>
      <c r="AF17" s="37">
        <f>SUM(AF4:AF16)</f>
        <v>12612</v>
      </c>
      <c r="AG17" s="36"/>
      <c r="AH17" s="36"/>
      <c r="AI17" s="36"/>
      <c r="AJ17" s="36"/>
      <c r="AK17" s="36"/>
      <c r="AL17" s="39">
        <f>SUM(AL4:AL16)</f>
        <v>1444</v>
      </c>
      <c r="AM17" s="36"/>
      <c r="AN17" s="36"/>
      <c r="AO17" s="36"/>
      <c r="AP17" s="36"/>
      <c r="AQ17" s="36"/>
      <c r="AR17" s="39">
        <f>SUM(AR4:AR16)</f>
        <v>15</v>
      </c>
      <c r="AS17" s="36"/>
      <c r="AT17" s="36"/>
      <c r="AU17" s="36"/>
      <c r="AV17" s="36"/>
      <c r="AW17" s="36"/>
      <c r="AX17" s="38" t="s">
        <v>34</v>
      </c>
      <c r="AY17" s="36"/>
      <c r="AZ17" s="36"/>
      <c r="BA17" s="36"/>
      <c r="BB17" s="36"/>
      <c r="BC17" s="36"/>
      <c r="BD17" s="38" t="s">
        <v>34</v>
      </c>
      <c r="BE17" s="36"/>
      <c r="BF17" s="36"/>
      <c r="BG17" s="36"/>
      <c r="BH17" s="36"/>
      <c r="BI17" s="36"/>
      <c r="BJ17" s="38">
        <v>20</v>
      </c>
      <c r="BK17" s="36"/>
      <c r="BL17" s="36"/>
      <c r="BM17" s="36"/>
      <c r="BN17" s="36"/>
      <c r="BO17" s="36"/>
      <c r="BP17" s="38">
        <v>20</v>
      </c>
      <c r="BQ17" s="36"/>
      <c r="BR17" s="36"/>
      <c r="BS17" s="36"/>
      <c r="BT17" s="36"/>
      <c r="BU17" s="36"/>
    </row>
    <row r="18" spans="1:73" ht="14" customHeight="1" x14ac:dyDescent="0.35">
      <c r="A18" s="36" t="s">
        <v>35</v>
      </c>
      <c r="B18" s="37">
        <f>MAX(B4:B16)</f>
        <v>56</v>
      </c>
      <c r="C18" s="36"/>
      <c r="D18" s="36"/>
      <c r="E18" s="36"/>
      <c r="F18" s="36"/>
      <c r="G18" s="36"/>
      <c r="H18" s="37">
        <f>MAX(H4:H16)</f>
        <v>18</v>
      </c>
      <c r="I18" s="36"/>
      <c r="J18" s="36"/>
      <c r="K18" s="36"/>
      <c r="L18" s="36"/>
      <c r="M18" s="36"/>
      <c r="N18" s="37">
        <f>MAX(N4:N16)</f>
        <v>2</v>
      </c>
      <c r="O18" s="36"/>
      <c r="P18" s="36"/>
      <c r="Q18" s="36"/>
      <c r="R18" s="36"/>
      <c r="S18" s="36"/>
      <c r="T18" s="37">
        <f>MAX(T4:T16)</f>
        <v>26</v>
      </c>
      <c r="U18" s="36"/>
      <c r="V18" s="36"/>
      <c r="W18" s="36"/>
      <c r="X18" s="36"/>
      <c r="Y18" s="36"/>
      <c r="Z18" s="37">
        <f>MAX(Z4:Z16)</f>
        <v>28</v>
      </c>
      <c r="AA18" s="36"/>
      <c r="AB18" s="36"/>
      <c r="AC18" s="36"/>
      <c r="AD18" s="36"/>
      <c r="AE18" s="36"/>
      <c r="AF18" s="37">
        <f>MAX(AF4:AF16)</f>
        <v>3754</v>
      </c>
      <c r="AG18" s="36"/>
      <c r="AH18" s="36"/>
      <c r="AI18" s="36"/>
      <c r="AJ18" s="36"/>
      <c r="AK18" s="36"/>
      <c r="AL18" s="37">
        <f>MAX(AL4:AL16)</f>
        <v>309</v>
      </c>
      <c r="AM18" s="36"/>
      <c r="AN18" s="36"/>
      <c r="AO18" s="36"/>
      <c r="AP18" s="36"/>
      <c r="AQ18" s="36"/>
      <c r="AR18" s="38" t="s">
        <v>34</v>
      </c>
      <c r="AS18" s="36"/>
      <c r="AT18" s="36"/>
      <c r="AU18" s="36"/>
      <c r="AV18" s="36"/>
      <c r="AW18" s="36"/>
      <c r="AX18" s="38" t="s">
        <v>34</v>
      </c>
      <c r="AY18" s="36"/>
      <c r="AZ18" s="36"/>
      <c r="BA18" s="36"/>
      <c r="BB18" s="36"/>
      <c r="BC18" s="36"/>
      <c r="BD18" s="38" t="s">
        <v>34</v>
      </c>
      <c r="BE18" s="36"/>
      <c r="BF18" s="36"/>
      <c r="BG18" s="36"/>
      <c r="BH18" s="36"/>
      <c r="BI18" s="36"/>
      <c r="BJ18" s="37">
        <f>MAX(BJ4:BJ16)</f>
        <v>17</v>
      </c>
      <c r="BK18" s="36"/>
      <c r="BL18" s="36"/>
      <c r="BM18" s="36"/>
      <c r="BN18" s="36"/>
      <c r="BO18" s="36"/>
      <c r="BP18" s="37">
        <f>MAX(BP4:BP16)</f>
        <v>61</v>
      </c>
      <c r="BQ18" s="36"/>
      <c r="BR18" s="36"/>
      <c r="BS18" s="36"/>
      <c r="BT18" s="36"/>
      <c r="BU18" s="36"/>
    </row>
    <row r="19" spans="1:73" ht="14" customHeight="1" x14ac:dyDescent="0.35">
      <c r="A19" s="36" t="s">
        <v>36</v>
      </c>
      <c r="B19" s="37">
        <v>272</v>
      </c>
      <c r="C19" s="36"/>
      <c r="D19" s="36"/>
      <c r="E19" s="36"/>
      <c r="F19" s="36"/>
      <c r="G19" s="36"/>
      <c r="H19" s="38">
        <v>1</v>
      </c>
      <c r="I19" s="36"/>
      <c r="J19" s="36"/>
      <c r="K19" s="36"/>
      <c r="L19" s="36"/>
      <c r="M19" s="36"/>
      <c r="N19" s="38">
        <v>1</v>
      </c>
      <c r="O19" s="36"/>
      <c r="P19" s="36"/>
      <c r="Q19" s="36"/>
      <c r="R19" s="36"/>
      <c r="S19" s="36"/>
      <c r="T19" s="38">
        <v>150</v>
      </c>
      <c r="U19" s="36"/>
      <c r="V19" s="36"/>
      <c r="W19" s="36"/>
      <c r="X19" s="36"/>
      <c r="Y19" s="36"/>
      <c r="Z19" s="38">
        <v>60</v>
      </c>
      <c r="AA19" s="36"/>
      <c r="AB19" s="36"/>
      <c r="AC19" s="36"/>
      <c r="AD19" s="36"/>
      <c r="AE19" s="36"/>
      <c r="AF19" s="38">
        <v>12000</v>
      </c>
      <c r="AG19" s="36"/>
      <c r="AH19" s="36"/>
      <c r="AI19" s="36"/>
      <c r="AJ19" s="36"/>
      <c r="AK19" s="36"/>
      <c r="AL19" s="38">
        <v>150</v>
      </c>
      <c r="AM19" s="36"/>
      <c r="AN19" s="36"/>
      <c r="AO19" s="36"/>
      <c r="AP19" s="36"/>
      <c r="AQ19" s="36"/>
      <c r="AR19" s="38">
        <v>1</v>
      </c>
      <c r="AS19" s="36"/>
      <c r="AT19" s="36"/>
      <c r="AU19" s="36"/>
      <c r="AV19" s="36"/>
      <c r="AW19" s="36"/>
      <c r="AX19" s="38">
        <v>1.4999999999999999E-2</v>
      </c>
      <c r="AY19" s="36"/>
      <c r="AZ19" s="36"/>
      <c r="BA19" s="36"/>
      <c r="BB19" s="36"/>
      <c r="BC19" s="36"/>
      <c r="BD19" s="37">
        <v>1</v>
      </c>
      <c r="BE19" s="36"/>
      <c r="BF19" s="36"/>
      <c r="BG19" s="36"/>
      <c r="BH19" s="36"/>
      <c r="BI19" s="36"/>
      <c r="BJ19" s="38">
        <v>20</v>
      </c>
      <c r="BK19" s="36"/>
      <c r="BL19" s="36"/>
      <c r="BM19" s="36"/>
      <c r="BN19" s="36"/>
      <c r="BO19" s="36"/>
      <c r="BP19" s="38">
        <v>30</v>
      </c>
      <c r="BQ19" s="36"/>
      <c r="BR19" s="36"/>
      <c r="BS19" s="36"/>
      <c r="BT19" s="36"/>
      <c r="BU19" s="36"/>
    </row>
    <row r="20" spans="1:73" ht="14" customHeight="1" x14ac:dyDescent="0.35">
      <c r="A20" s="36" t="s">
        <v>37</v>
      </c>
      <c r="B20" s="37">
        <f>B19/13</f>
        <v>20.923076923076923</v>
      </c>
      <c r="C20" s="36"/>
      <c r="D20" s="36"/>
      <c r="E20" s="36"/>
      <c r="F20" s="36"/>
      <c r="G20" s="36"/>
      <c r="H20" s="38">
        <v>18</v>
      </c>
      <c r="I20" s="36"/>
      <c r="J20" s="36"/>
      <c r="K20" s="36"/>
      <c r="L20" s="36"/>
      <c r="M20" s="36"/>
      <c r="N20" s="38">
        <f>N19/13</f>
        <v>7.6923076923076927E-2</v>
      </c>
      <c r="O20" s="36"/>
      <c r="P20" s="36"/>
      <c r="Q20" s="36"/>
      <c r="R20" s="36"/>
      <c r="S20" s="36"/>
      <c r="T20" s="38">
        <f>T19/13</f>
        <v>11.538461538461538</v>
      </c>
      <c r="U20" s="36"/>
      <c r="V20" s="36"/>
      <c r="W20" s="36"/>
      <c r="X20" s="36"/>
      <c r="Y20" s="36"/>
      <c r="Z20" s="38">
        <f>Z19/13</f>
        <v>4.615384615384615</v>
      </c>
      <c r="AA20" s="36"/>
      <c r="AB20" s="36"/>
      <c r="AC20" s="36"/>
      <c r="AD20" s="36"/>
      <c r="AE20" s="36"/>
      <c r="AF20" s="38">
        <f>AF19/13</f>
        <v>923.07692307692309</v>
      </c>
      <c r="AG20" s="36"/>
      <c r="AH20" s="36"/>
      <c r="AI20" s="36"/>
      <c r="AJ20" s="36"/>
      <c r="AK20" s="36"/>
      <c r="AL20" s="38">
        <f>AL19/13</f>
        <v>11.538461538461538</v>
      </c>
      <c r="AM20" s="36"/>
      <c r="AN20" s="36"/>
      <c r="AO20" s="36"/>
      <c r="AP20" s="36"/>
      <c r="AQ20" s="36"/>
      <c r="AR20" s="38">
        <f>AR19/13</f>
        <v>7.6923076923076927E-2</v>
      </c>
      <c r="AS20" s="36"/>
      <c r="AT20" s="36"/>
      <c r="AU20" s="36"/>
      <c r="AV20" s="36"/>
      <c r="AW20" s="36"/>
      <c r="AX20" s="38">
        <f>AX19/13</f>
        <v>1.1538461538461537E-3</v>
      </c>
      <c r="AY20" s="36"/>
      <c r="AZ20" s="36"/>
      <c r="BA20" s="36"/>
      <c r="BB20" s="36"/>
      <c r="BC20" s="36"/>
      <c r="BD20" s="37">
        <f>BD19/13</f>
        <v>7.6923076923076927E-2</v>
      </c>
      <c r="BE20" s="36"/>
      <c r="BF20" s="36"/>
      <c r="BG20" s="36"/>
      <c r="BH20" s="36"/>
      <c r="BI20" s="36"/>
      <c r="BJ20" s="38">
        <f>BJ19/13</f>
        <v>1.5384615384615385</v>
      </c>
      <c r="BK20" s="36"/>
      <c r="BL20" s="36"/>
      <c r="BM20" s="36"/>
      <c r="BN20" s="36"/>
      <c r="BO20" s="36"/>
      <c r="BP20" s="38">
        <f>BP19/13</f>
        <v>2.3076923076923075</v>
      </c>
      <c r="BQ20" s="36"/>
      <c r="BR20" s="36"/>
      <c r="BS20" s="36"/>
      <c r="BT20" s="36"/>
      <c r="BU20" s="36"/>
    </row>
  </sheetData>
  <mergeCells count="12">
    <mergeCell ref="AL2:AQ2"/>
    <mergeCell ref="AR2:AW2"/>
    <mergeCell ref="AX2:BC2"/>
    <mergeCell ref="BD2:BI2"/>
    <mergeCell ref="BJ2:BO2"/>
    <mergeCell ref="BP2:BU2"/>
    <mergeCell ref="B2:G2"/>
    <mergeCell ref="H2:M2"/>
    <mergeCell ref="N2:S2"/>
    <mergeCell ref="T2:Y2"/>
    <mergeCell ref="Z2:AE2"/>
    <mergeCell ref="AF2:AK2"/>
  </mergeCells>
  <conditionalFormatting sqref="B4:B16">
    <cfRule type="colorScale" priority="17">
      <colorScale>
        <cfvo type="min"/>
        <cfvo type="formula" val="$B$20/2"/>
        <cfvo type="formula" val="$B$20"/>
        <color rgb="FFFF0000"/>
        <color rgb="FFFFFF00"/>
        <color rgb="FF00B050"/>
      </colorScale>
    </cfRule>
  </conditionalFormatting>
  <conditionalFormatting sqref="C4:C16">
    <cfRule type="colorScale" priority="5">
      <colorScale>
        <cfvo type="min"/>
        <cfvo type="formula" val="$B$20/2"/>
        <cfvo type="formula" val="$B$20"/>
        <color rgb="FFFF0000"/>
        <color rgb="FFFFFF00"/>
        <color rgb="FF00B050"/>
      </colorScale>
    </cfRule>
  </conditionalFormatting>
  <conditionalFormatting sqref="D4:D16">
    <cfRule type="colorScale" priority="4">
      <colorScale>
        <cfvo type="min"/>
        <cfvo type="formula" val="$B$20/2"/>
        <cfvo type="formula" val="$B$20"/>
        <color rgb="FFFF0000"/>
        <color rgb="FFFFFF00"/>
        <color rgb="FF00B050"/>
      </colorScale>
    </cfRule>
  </conditionalFormatting>
  <conditionalFormatting sqref="E4:E16">
    <cfRule type="colorScale" priority="3">
      <colorScale>
        <cfvo type="min"/>
        <cfvo type="formula" val="$B$20/2"/>
        <cfvo type="formula" val="$B$20"/>
        <color rgb="FFFF0000"/>
        <color rgb="FFFFFF00"/>
        <color rgb="FF00B050"/>
      </colorScale>
    </cfRule>
  </conditionalFormatting>
  <conditionalFormatting sqref="F4:F16">
    <cfRule type="colorScale" priority="2">
      <colorScale>
        <cfvo type="min"/>
        <cfvo type="formula" val="$B$20/2"/>
        <cfvo type="formula" val="$B$20"/>
        <color rgb="FFFF0000"/>
        <color rgb="FFFFFF00"/>
        <color rgb="FF00B050"/>
      </colorScale>
    </cfRule>
  </conditionalFormatting>
  <conditionalFormatting sqref="G4:G16">
    <cfRule type="colorScale" priority="1">
      <colorScale>
        <cfvo type="min"/>
        <cfvo type="formula" val="$B$20/2"/>
        <cfvo type="formula" val="$B$20"/>
        <color rgb="FFFF0000"/>
        <color rgb="FFFFFF00"/>
        <color rgb="FF00B050"/>
      </colorScale>
    </cfRule>
  </conditionalFormatting>
  <conditionalFormatting sqref="H4:H16">
    <cfRule type="colorScale" priority="16">
      <colorScale>
        <cfvo type="min"/>
        <cfvo type="formula" val="$H$20/2"/>
        <cfvo type="formula" val="$H$20"/>
        <color rgb="FFFF0000"/>
        <color rgb="FFFFFF00"/>
        <color rgb="FF00B050"/>
      </colorScale>
    </cfRule>
  </conditionalFormatting>
  <conditionalFormatting sqref="N4:N16">
    <cfRule type="colorScale" priority="15">
      <colorScale>
        <cfvo type="min"/>
        <cfvo type="formula" val="$N$20/2"/>
        <cfvo type="formula" val="$N$20"/>
        <color rgb="FFFF0000"/>
        <color rgb="FFFFFF00"/>
        <color rgb="FF00B050"/>
      </colorScale>
    </cfRule>
  </conditionalFormatting>
  <conditionalFormatting sqref="T4:T16">
    <cfRule type="colorScale" priority="14">
      <colorScale>
        <cfvo type="min"/>
        <cfvo type="formula" val="$T$20/2"/>
        <cfvo type="formula" val="$T$20"/>
        <color rgb="FFFF0000"/>
        <color rgb="FFFFFF00"/>
        <color rgb="FF00B050"/>
      </colorScale>
    </cfRule>
  </conditionalFormatting>
  <conditionalFormatting sqref="Z4:Z16">
    <cfRule type="colorScale" priority="13">
      <colorScale>
        <cfvo type="min"/>
        <cfvo type="formula" val="$Z$20/2"/>
        <cfvo type="formula" val="$Z$20"/>
        <color rgb="FFFF0000"/>
        <color rgb="FFFFFF00"/>
        <color rgb="FF00B050"/>
      </colorScale>
    </cfRule>
  </conditionalFormatting>
  <conditionalFormatting sqref="AF4:AF16">
    <cfRule type="colorScale" priority="11">
      <colorScale>
        <cfvo type="min"/>
        <cfvo type="formula" val="$B$20/2"/>
        <cfvo type="formula" val="$B$20"/>
        <color rgb="FFFF0000"/>
        <color rgb="FFFFFF00"/>
        <color rgb="FF00B050"/>
      </colorScale>
    </cfRule>
  </conditionalFormatting>
  <conditionalFormatting sqref="AL4:AL16">
    <cfRule type="colorScale" priority="12">
      <colorScale>
        <cfvo type="min"/>
        <cfvo type="formula" val="$AL$20/2"/>
        <cfvo type="formula" val="$AL$20"/>
        <color rgb="FFFF0000"/>
        <color rgb="FFFFFF00"/>
        <color rgb="FF00B050"/>
      </colorScale>
    </cfRule>
  </conditionalFormatting>
  <conditionalFormatting sqref="AR5">
    <cfRule type="colorScale" priority="8">
      <colorScale>
        <cfvo type="min"/>
        <cfvo type="num" val="0"/>
        <cfvo type="formula" val="$AL$20"/>
        <color rgb="FFFF6D6D"/>
        <color rgb="FFFFFF00"/>
        <color rgb="FF00B050"/>
      </colorScale>
    </cfRule>
  </conditionalFormatting>
  <conditionalFormatting sqref="AX5">
    <cfRule type="colorScale" priority="7">
      <colorScale>
        <cfvo type="min"/>
        <cfvo type="num" val="0"/>
        <cfvo type="max"/>
        <color rgb="FFFF6D6D"/>
        <color rgb="FFFFFF00"/>
        <color rgb="FF00B050"/>
      </colorScale>
    </cfRule>
  </conditionalFormatting>
  <conditionalFormatting sqref="BD6">
    <cfRule type="colorScale" priority="6">
      <colorScale>
        <cfvo type="min"/>
        <cfvo type="num" val="0"/>
        <cfvo type="max"/>
        <color rgb="FFFF6D6D"/>
        <color rgb="FFFFFF00"/>
        <color rgb="FF00B050"/>
      </colorScale>
    </cfRule>
  </conditionalFormatting>
  <conditionalFormatting sqref="BJ4:BJ16">
    <cfRule type="colorScale" priority="10">
      <colorScale>
        <cfvo type="min"/>
        <cfvo type="formula" val="$BJ$20"/>
        <cfvo type="formula" val="$BJ$20"/>
        <color rgb="FFFF0000"/>
        <color rgb="FFFFFF00"/>
        <color rgb="FF00B050"/>
      </colorScale>
    </cfRule>
  </conditionalFormatting>
  <conditionalFormatting sqref="BP4:BP16">
    <cfRule type="colorScale" priority="9">
      <colorScale>
        <cfvo type="min"/>
        <cfvo type="formula" val="$BP$20/2"/>
        <cfvo type="formula" val="$BP$20"/>
        <color rgb="FFFF0000"/>
        <color rgb="FFFFFF00"/>
        <color rgb="FF00B050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Res, Cap &amp; Products – KPI #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Lewis, Sabra (IITA)</dc:creator>
  <cp:lastModifiedBy>Lewis, Sabra (IITA)</cp:lastModifiedBy>
  <dcterms:created xsi:type="dcterms:W3CDTF">2026-04-03T09:13:46Z</dcterms:created>
  <dcterms:modified xsi:type="dcterms:W3CDTF">2026-04-03T09:14:04Z</dcterms:modified>
</cp:coreProperties>
</file>