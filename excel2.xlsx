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ITA2\"/>
    </mc:Choice>
  </mc:AlternateContent>
  <xr:revisionPtr revIDLastSave="0" documentId="13_ncr:1_{EC901A81-6BC2-4922-B6F5-028BF72EA27B}" xr6:coauthVersionLast="47" xr6:coauthVersionMax="47" xr10:uidLastSave="{00000000-0000-0000-0000-000000000000}"/>
  <bookViews>
    <workbookView xWindow="20" yWindow="20" windowWidth="19180" windowHeight="10060" xr2:uid="{31305BA0-5A95-4769-B635-B8A9DFD81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5" i="1"/>
</calcChain>
</file>

<file path=xl/sharedStrings.xml><?xml version="1.0" encoding="utf-8"?>
<sst xmlns="http://schemas.openxmlformats.org/spreadsheetml/2006/main" count="50" uniqueCount="50">
  <si>
    <t>KPI Nr</t>
  </si>
  <si>
    <t>KPI Metrics</t>
  </si>
  <si>
    <t>Annual Target</t>
  </si>
  <si>
    <t>2025 Actual value</t>
  </si>
  <si>
    <t>% Female (where applicable)</t>
  </si>
  <si>
    <t>Research Outputs</t>
  </si>
  <si>
    <t>PR1</t>
  </si>
  <si>
    <t>Number of papers published in Thomson-indexed journals</t>
  </si>
  <si>
    <t>PR2</t>
  </si>
  <si>
    <t>Number of papers published in Thomson-indexed journals per IRS</t>
  </si>
  <si>
    <t>PR3</t>
  </si>
  <si>
    <t>Number of Thomson-indexed publications with an impact factor greater than 10.</t>
  </si>
  <si>
    <t>Training and Capacity Building</t>
  </si>
  <si>
    <t>PR4</t>
  </si>
  <si>
    <t>Number of MSc and PhD students enrolled at IITA</t>
  </si>
  <si>
    <t>PR5</t>
  </si>
  <si>
    <t>Number of MSc and PhD thesis defended and accepted</t>
  </si>
  <si>
    <t>PR6</t>
  </si>
  <si>
    <t>Number of extensionists, value chain actors etc.   trained in IITA innovations</t>
  </si>
  <si>
    <t>PR7</t>
  </si>
  <si>
    <t>Number of people (NARS) attending courses delivered by scientists and specialists</t>
  </si>
  <si>
    <t>Product Development</t>
  </si>
  <si>
    <t>PR8</t>
  </si>
  <si>
    <t>Variety Release</t>
  </si>
  <si>
    <t>PR9</t>
  </si>
  <si>
    <t>Annual rate of genetic gain, by crop (%)</t>
  </si>
  <si>
    <t>PR10</t>
  </si>
  <si>
    <t>Crop Trust Performance Compliance Rate</t>
  </si>
  <si>
    <t>PR11</t>
  </si>
  <si>
    <t>Number of IITA innovations incorporated into the TAAT e-Catalogue</t>
  </si>
  <si>
    <t>PR12</t>
  </si>
  <si>
    <t>Number of IITA innovations taken on by scaling partners (e.g., IFIs, private sector)</t>
  </si>
  <si>
    <t>Recognition and Reputation</t>
  </si>
  <si>
    <t>PR13</t>
  </si>
  <si>
    <t>Number of active collaborations with scaling partners</t>
  </si>
  <si>
    <t>PR14</t>
  </si>
  <si>
    <t>Number of collaborations with ARIs</t>
  </si>
  <si>
    <t>PR15</t>
  </si>
  <si>
    <t>Number of awards granted to IITA staff/project teams</t>
  </si>
  <si>
    <t>PR16</t>
  </si>
  <si>
    <t>Number of invitations to IITA staff to give seminars, as guest speakers etc.</t>
  </si>
  <si>
    <t>PR17</t>
  </si>
  <si>
    <t>Number of direct engagements  with senior policymakers to provide strategic advice, influence reforms, or shape national strategies.</t>
  </si>
  <si>
    <t>Society Impact and Inclusion</t>
  </si>
  <si>
    <t>PR18</t>
  </si>
  <si>
    <t>Percentage of approved proposals with gender/youth/social inclusion components</t>
  </si>
  <si>
    <t>PR19</t>
  </si>
  <si>
    <t xml:space="preserve">Percentage of approved proposals with inclusion of adaptation/ mitigation activities </t>
  </si>
  <si>
    <t>PR20</t>
  </si>
  <si>
    <t>Percentage of approved proposals with inclusion of nutrition and health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</si>
</sst>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top" wrapText="1"/>
    </xf>
    <xf numFmtId="164" fontId="3" fillId="3" borderId="2" xfId="1" applyNumberFormat="1" applyFont="1" applyFill="1" applyBorder="1" applyAlignment="1">
      <alignment vertical="top" wrapText="1"/>
    </xf>
    <xf numFmtId="9" fontId="3" fillId="4" borderId="1" xfId="2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top" wrapText="1"/>
    </xf>
    <xf numFmtId="164" fontId="4" fillId="0" borderId="5" xfId="1" applyNumberFormat="1" applyFont="1" applyBorder="1" applyAlignment="1">
      <alignment vertical="top" wrapText="1"/>
    </xf>
    <xf numFmtId="9" fontId="4" fillId="0" borderId="6" xfId="2" applyFont="1" applyFill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top" wrapText="1"/>
    </xf>
    <xf numFmtId="164" fontId="4" fillId="0" borderId="9" xfId="1" applyNumberFormat="1" applyFont="1" applyBorder="1" applyAlignment="1">
      <alignment vertical="top" wrapText="1"/>
    </xf>
    <xf numFmtId="9" fontId="4" fillId="0" borderId="10" xfId="2" applyFont="1" applyFill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top" wrapText="1"/>
    </xf>
    <xf numFmtId="164" fontId="4" fillId="0" borderId="13" xfId="1" applyNumberFormat="1" applyFont="1" applyFill="1" applyBorder="1" applyAlignment="1">
      <alignment vertical="top" wrapText="1"/>
    </xf>
    <xf numFmtId="9" fontId="4" fillId="0" borderId="14" xfId="2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top" wrapText="1"/>
    </xf>
    <xf numFmtId="164" fontId="5" fillId="0" borderId="5" xfId="1" applyNumberFormat="1" applyFont="1" applyFill="1" applyBorder="1" applyAlignment="1">
      <alignment vertical="top" wrapText="1"/>
    </xf>
    <xf numFmtId="9" fontId="5" fillId="0" borderId="6" xfId="2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top" wrapText="1"/>
    </xf>
    <xf numFmtId="164" fontId="5" fillId="0" borderId="9" xfId="1" applyNumberFormat="1" applyFont="1" applyFill="1" applyBorder="1" applyAlignment="1">
      <alignment vertical="top" wrapText="1"/>
    </xf>
    <xf numFmtId="9" fontId="5" fillId="0" borderId="10" xfId="2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left" vertical="center" wrapText="1"/>
    </xf>
    <xf numFmtId="165" fontId="5" fillId="0" borderId="8" xfId="1" applyNumberFormat="1" applyFont="1" applyFill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top" wrapText="1"/>
    </xf>
    <xf numFmtId="164" fontId="5" fillId="0" borderId="13" xfId="1" applyNumberFormat="1" applyFont="1" applyFill="1" applyBorder="1" applyAlignment="1">
      <alignment vertical="top" wrapText="1"/>
    </xf>
    <xf numFmtId="9" fontId="5" fillId="0" borderId="14" xfId="2" applyFont="1" applyFill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center" vertical="top" wrapText="1"/>
    </xf>
    <xf numFmtId="164" fontId="4" fillId="0" borderId="5" xfId="1" applyNumberFormat="1" applyFont="1" applyFill="1" applyBorder="1" applyAlignment="1">
      <alignment vertical="top" wrapText="1"/>
    </xf>
    <xf numFmtId="10" fontId="5" fillId="0" borderId="8" xfId="0" applyNumberFormat="1" applyFont="1" applyBorder="1" applyAlignment="1">
      <alignment horizontal="center" vertical="top" wrapText="1"/>
    </xf>
    <xf numFmtId="166" fontId="4" fillId="0" borderId="9" xfId="2" applyNumberFormat="1" applyFont="1" applyFill="1" applyBorder="1" applyAlignment="1">
      <alignment vertical="top" wrapText="1"/>
    </xf>
    <xf numFmtId="9" fontId="5" fillId="0" borderId="8" xfId="0" applyNumberFormat="1" applyFont="1" applyBorder="1" applyAlignment="1">
      <alignment horizontal="center" vertical="top" wrapText="1"/>
    </xf>
    <xf numFmtId="164" fontId="4" fillId="0" borderId="9" xfId="1" applyNumberFormat="1" applyFont="1" applyFill="1" applyBorder="1" applyAlignment="1">
      <alignment vertical="top" wrapText="1"/>
    </xf>
    <xf numFmtId="165" fontId="4" fillId="0" borderId="6" xfId="1" applyNumberFormat="1" applyFont="1" applyFill="1" applyBorder="1" applyAlignment="1">
      <alignment horizontal="center" vertical="top" wrapText="1"/>
    </xf>
    <xf numFmtId="165" fontId="4" fillId="0" borderId="10" xfId="1" applyNumberFormat="1" applyFont="1" applyFill="1" applyBorder="1" applyAlignment="1">
      <alignment horizontal="center" vertical="top" wrapText="1"/>
    </xf>
    <xf numFmtId="9" fontId="4" fillId="0" borderId="4" xfId="0" applyNumberFormat="1" applyFont="1" applyBorder="1" applyAlignment="1">
      <alignment horizontal="center" vertical="top" wrapText="1"/>
    </xf>
    <xf numFmtId="9" fontId="4" fillId="0" borderId="5" xfId="2" applyFont="1" applyFill="1" applyBorder="1" applyAlignment="1">
      <alignment vertical="top" wrapText="1"/>
    </xf>
    <xf numFmtId="9" fontId="4" fillId="0" borderId="8" xfId="0" applyNumberFormat="1" applyFont="1" applyBorder="1" applyAlignment="1">
      <alignment horizontal="center" vertical="top" wrapText="1"/>
    </xf>
    <xf numFmtId="9" fontId="4" fillId="0" borderId="9" xfId="2" applyFont="1" applyFill="1" applyBorder="1" applyAlignment="1">
      <alignment vertical="top" wrapText="1"/>
    </xf>
    <xf numFmtId="9" fontId="4" fillId="0" borderId="12" xfId="0" applyNumberFormat="1" applyFont="1" applyBorder="1" applyAlignment="1">
      <alignment horizontal="center" vertical="top" wrapText="1"/>
    </xf>
    <xf numFmtId="9" fontId="4" fillId="0" borderId="13" xfId="2" applyFont="1" applyFill="1" applyBorder="1" applyAlignment="1">
      <alignment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2B4A-2385-4FE0-A062-3E2553F94E5B}">
  <dimension ref="A1:F21"/>
  <sheetViews>
    <sheetView tabSelected="1" workbookViewId="0">
      <selection activeCell="F2" sqref="F2"/>
    </sheetView>
  </sheetViews>
  <sheetFormatPr defaultRowHeight="14.5" x14ac:dyDescent="0.35"/>
  <sheetData>
    <row r="1" spans="1:6" ht="36.5" thickBot="1" x14ac:dyDescent="0.4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</row>
    <row r="2" spans="1:6" ht="72" x14ac:dyDescent="0.35">
      <c r="A2" s="7" t="s">
        <v>5</v>
      </c>
      <c r="B2" s="8" t="s">
        <v>6</v>
      </c>
      <c r="C2" s="9" t="s">
        <v>7</v>
      </c>
      <c r="D2" s="10">
        <v>272</v>
      </c>
      <c r="E2" s="11">
        <v>220</v>
      </c>
      <c r="F2" s="12"/>
    </row>
    <row r="3" spans="1:6" ht="84" x14ac:dyDescent="0.35">
      <c r="A3" s="13"/>
      <c r="B3" s="14" t="s">
        <v>8</v>
      </c>
      <c r="C3" s="15" t="s">
        <v>9</v>
      </c>
      <c r="D3" s="16">
        <v>2</v>
      </c>
      <c r="E3" s="17">
        <v>1.3</v>
      </c>
      <c r="F3" s="18"/>
    </row>
    <row r="4" spans="1:6" ht="108.5" thickBot="1" x14ac:dyDescent="0.4">
      <c r="A4" s="19"/>
      <c r="B4" s="20" t="s">
        <v>10</v>
      </c>
      <c r="C4" s="21" t="s">
        <v>11</v>
      </c>
      <c r="D4" s="22">
        <v>1</v>
      </c>
      <c r="E4" s="23">
        <v>6</v>
      </c>
      <c r="F4" s="24"/>
    </row>
    <row r="5" spans="1:6" ht="72" x14ac:dyDescent="0.35">
      <c r="A5" s="58" t="s">
        <v>12</v>
      </c>
      <c r="B5" s="25" t="s">
        <v>13</v>
      </c>
      <c r="C5" s="26" t="s">
        <v>14</v>
      </c>
      <c r="D5" s="27">
        <v>150</v>
      </c>
      <c r="E5" s="28">
        <v>113</v>
      </c>
      <c r="F5" s="29">
        <f>67/113</f>
        <v>0.59292035398230092</v>
      </c>
    </row>
    <row r="6" spans="1:6" ht="72" x14ac:dyDescent="0.35">
      <c r="A6" s="59"/>
      <c r="B6" s="30" t="s">
        <v>15</v>
      </c>
      <c r="C6" s="31" t="s">
        <v>16</v>
      </c>
      <c r="D6" s="32">
        <v>60</v>
      </c>
      <c r="E6" s="33">
        <v>103</v>
      </c>
      <c r="F6" s="34">
        <f>50/103</f>
        <v>0.4854368932038835</v>
      </c>
    </row>
    <row r="7" spans="1:6" ht="96" x14ac:dyDescent="0.35">
      <c r="A7" s="59"/>
      <c r="B7" s="30" t="s">
        <v>17</v>
      </c>
      <c r="C7" s="35" t="s">
        <v>18</v>
      </c>
      <c r="D7" s="36">
        <v>12000</v>
      </c>
      <c r="E7" s="33">
        <v>12612</v>
      </c>
      <c r="F7" s="34">
        <v>0.43909999999999999</v>
      </c>
    </row>
    <row r="8" spans="1:6" ht="120.5" thickBot="1" x14ac:dyDescent="0.4">
      <c r="A8" s="60"/>
      <c r="B8" s="37" t="s">
        <v>19</v>
      </c>
      <c r="C8" s="38" t="s">
        <v>20</v>
      </c>
      <c r="D8" s="39">
        <v>150</v>
      </c>
      <c r="E8" s="40">
        <v>1444</v>
      </c>
      <c r="F8" s="41">
        <v>0.33650000000000002</v>
      </c>
    </row>
    <row r="9" spans="1:6" ht="24.5" x14ac:dyDescent="0.35">
      <c r="A9" s="61" t="s">
        <v>21</v>
      </c>
      <c r="B9" s="42" t="s">
        <v>22</v>
      </c>
      <c r="C9" s="43" t="s">
        <v>23</v>
      </c>
      <c r="D9" s="44">
        <v>1</v>
      </c>
      <c r="E9" s="45">
        <v>15</v>
      </c>
      <c r="F9" s="12"/>
    </row>
    <row r="10" spans="1:6" ht="48" x14ac:dyDescent="0.35">
      <c r="A10" s="62"/>
      <c r="B10" s="14" t="s">
        <v>24</v>
      </c>
      <c r="C10" s="35" t="s">
        <v>25</v>
      </c>
      <c r="D10" s="46">
        <v>1.4999999999999999E-2</v>
      </c>
      <c r="E10" s="47">
        <v>1.4999999999999999E-2</v>
      </c>
      <c r="F10" s="18"/>
    </row>
    <row r="11" spans="1:6" ht="60" x14ac:dyDescent="0.35">
      <c r="A11" s="62"/>
      <c r="B11" s="14" t="s">
        <v>26</v>
      </c>
      <c r="C11" s="35" t="s">
        <v>27</v>
      </c>
      <c r="D11" s="48">
        <v>1</v>
      </c>
      <c r="E11" s="49">
        <v>1</v>
      </c>
      <c r="F11" s="18"/>
    </row>
    <row r="12" spans="1:6" ht="84" x14ac:dyDescent="0.35">
      <c r="A12" s="62"/>
      <c r="B12" s="14" t="s">
        <v>28</v>
      </c>
      <c r="C12" s="15" t="s">
        <v>29</v>
      </c>
      <c r="D12" s="16">
        <v>20</v>
      </c>
      <c r="E12" s="49">
        <v>51</v>
      </c>
      <c r="F12" s="18"/>
    </row>
    <row r="13" spans="1:6" ht="108.5" thickBot="1" x14ac:dyDescent="0.4">
      <c r="A13" s="63"/>
      <c r="B13" s="20" t="s">
        <v>30</v>
      </c>
      <c r="C13" s="21" t="s">
        <v>31</v>
      </c>
      <c r="D13" s="22">
        <v>30</v>
      </c>
      <c r="E13" s="23">
        <v>19</v>
      </c>
      <c r="F13" s="24"/>
    </row>
    <row r="14" spans="1:6" ht="72" x14ac:dyDescent="0.35">
      <c r="A14" s="61" t="s">
        <v>32</v>
      </c>
      <c r="B14" s="8" t="s">
        <v>33</v>
      </c>
      <c r="C14" s="9" t="s">
        <v>34</v>
      </c>
      <c r="D14" s="10">
        <v>30</v>
      </c>
      <c r="E14" s="45">
        <v>38</v>
      </c>
      <c r="F14" s="50"/>
    </row>
    <row r="15" spans="1:6" ht="48" x14ac:dyDescent="0.35">
      <c r="A15" s="62"/>
      <c r="B15" s="14" t="s">
        <v>35</v>
      </c>
      <c r="C15" s="15" t="s">
        <v>36</v>
      </c>
      <c r="D15" s="16">
        <v>30</v>
      </c>
      <c r="E15" s="49">
        <v>83</v>
      </c>
      <c r="F15" s="51"/>
    </row>
    <row r="16" spans="1:6" ht="72" x14ac:dyDescent="0.35">
      <c r="A16" s="62"/>
      <c r="B16" s="14" t="s">
        <v>37</v>
      </c>
      <c r="C16" s="15" t="s">
        <v>38</v>
      </c>
      <c r="D16" s="16">
        <v>30</v>
      </c>
      <c r="E16" s="49">
        <v>8</v>
      </c>
      <c r="F16" s="18"/>
    </row>
    <row r="17" spans="1:6" ht="96" x14ac:dyDescent="0.35">
      <c r="A17" s="62"/>
      <c r="B17" s="14" t="s">
        <v>39</v>
      </c>
      <c r="C17" s="15" t="s">
        <v>40</v>
      </c>
      <c r="D17" s="16">
        <v>30</v>
      </c>
      <c r="E17" s="49">
        <v>18</v>
      </c>
      <c r="F17" s="18"/>
    </row>
    <row r="18" spans="1:6" ht="180.5" thickBot="1" x14ac:dyDescent="0.4">
      <c r="A18" s="63"/>
      <c r="B18" s="20" t="s">
        <v>41</v>
      </c>
      <c r="C18" s="38" t="s">
        <v>42</v>
      </c>
      <c r="D18" s="22">
        <v>30</v>
      </c>
      <c r="E18" s="23">
        <v>12</v>
      </c>
      <c r="F18" s="24"/>
    </row>
    <row r="19" spans="1:6" ht="120" x14ac:dyDescent="0.35">
      <c r="A19" s="61" t="s">
        <v>43</v>
      </c>
      <c r="B19" s="8" t="s">
        <v>44</v>
      </c>
      <c r="C19" s="9" t="s">
        <v>45</v>
      </c>
      <c r="D19" s="52">
        <v>0.25</v>
      </c>
      <c r="E19" s="53">
        <v>0.41666666666666669</v>
      </c>
      <c r="F19" s="12"/>
    </row>
    <row r="20" spans="1:6" ht="108" x14ac:dyDescent="0.35">
      <c r="A20" s="62"/>
      <c r="B20" s="14" t="s">
        <v>46</v>
      </c>
      <c r="C20" s="15" t="s">
        <v>47</v>
      </c>
      <c r="D20" s="54">
        <v>0.25</v>
      </c>
      <c r="E20" s="55">
        <v>0.3611111111111111</v>
      </c>
      <c r="F20" s="18"/>
    </row>
    <row r="21" spans="1:6" ht="108.5" thickBot="1" x14ac:dyDescent="0.4">
      <c r="A21" s="63"/>
      <c r="B21" s="20" t="s">
        <v>48</v>
      </c>
      <c r="C21" s="21" t="s">
        <v>49</v>
      </c>
      <c r="D21" s="56">
        <v>0.25</v>
      </c>
      <c r="E21" s="57">
        <v>0.1111111111111111</v>
      </c>
      <c r="F21" s="24"/>
    </row>
  </sheetData>
  <mergeCells count="4">
    <mergeCell ref="A5:A8"/>
    <mergeCell ref="A9:A13"/>
    <mergeCell ref="A14:A18"/>
    <mergeCell ref="A19:A21"/>
  </mergeCells>
  <conditionalFormatting sqref="E2">
    <cfRule type="colorScale" priority="20">
      <colorScale>
        <cfvo type="formula" val="$D$2*50%"/>
        <cfvo type="formula" val="$D$2*75%"/>
        <cfvo type="formula" val="$D$2"/>
        <color rgb="FFFF0000"/>
        <color rgb="FFFFFF00"/>
        <color rgb="FF00B050"/>
      </colorScale>
    </cfRule>
  </conditionalFormatting>
  <conditionalFormatting sqref="E3">
    <cfRule type="colorScale" priority="19">
      <colorScale>
        <cfvo type="formula" val="$D$3*50%"/>
        <cfvo type="formula" val="$D$3*75%"/>
        <cfvo type="formula" val="$D$3"/>
        <color rgb="FFFF0000"/>
        <color rgb="FFFFEB84"/>
        <color rgb="FF63BE7B"/>
      </colorScale>
    </cfRule>
  </conditionalFormatting>
  <conditionalFormatting sqref="E4">
    <cfRule type="colorScale" priority="18">
      <colorScale>
        <cfvo type="formula" val="$D$4*50%"/>
        <cfvo type="formula" val="$D$4*75%"/>
        <cfvo type="formula" val="$D$4"/>
        <color rgb="FFFF0000"/>
        <color rgb="FFFFFF00"/>
        <color rgb="FF00B050"/>
      </colorScale>
    </cfRule>
  </conditionalFormatting>
  <conditionalFormatting sqref="E5">
    <cfRule type="colorScale" priority="17">
      <colorScale>
        <cfvo type="formula" val="$D$5*50%"/>
        <cfvo type="formula" val="$D$5*75%"/>
        <cfvo type="formula" val="$D$5"/>
        <color rgb="FFFF0000"/>
        <color rgb="FFFFFF00"/>
        <color rgb="FF00B050"/>
      </colorScale>
    </cfRule>
  </conditionalFormatting>
  <conditionalFormatting sqref="E6">
    <cfRule type="colorScale" priority="16">
      <colorScale>
        <cfvo type="formula" val="$D$6*50%"/>
        <cfvo type="formula" val="$D$6*75%"/>
        <cfvo type="formula" val="$D$6"/>
        <color rgb="FFFF0000"/>
        <color rgb="FFFFEB84"/>
        <color rgb="FF00B050"/>
      </colorScale>
    </cfRule>
  </conditionalFormatting>
  <conditionalFormatting sqref="E7">
    <cfRule type="colorScale" priority="15">
      <colorScale>
        <cfvo type="formula" val="$D$6*50%"/>
        <cfvo type="formula" val="$D$7*75%"/>
        <cfvo type="formula" val="$D$7"/>
        <color rgb="FFFF0000"/>
        <color rgb="FFFFEB84"/>
        <color rgb="FF00B050"/>
      </colorScale>
    </cfRule>
  </conditionalFormatting>
  <conditionalFormatting sqref="E8">
    <cfRule type="colorScale" priority="14">
      <colorScale>
        <cfvo type="formula" val="$D$8*50%"/>
        <cfvo type="formula" val="$D$8*75%"/>
        <cfvo type="formula" val="$D$8"/>
        <color rgb="FFFF0000"/>
        <color rgb="FFFFEB84"/>
        <color rgb="FF00B050"/>
      </colorScale>
    </cfRule>
  </conditionalFormatting>
  <conditionalFormatting sqref="E9">
    <cfRule type="colorScale" priority="13">
      <colorScale>
        <cfvo type="num" val="0"/>
        <cfvo type="formula" val="$D$9"/>
        <color rgb="FFFF0000"/>
        <color rgb="FF00B050"/>
      </colorScale>
    </cfRule>
  </conditionalFormatting>
  <conditionalFormatting sqref="E10">
    <cfRule type="colorScale" priority="12">
      <colorScale>
        <cfvo type="num" val="0"/>
        <cfvo type="formula" val="$D$10"/>
        <color rgb="FFFF0000"/>
        <color rgb="FF00B050"/>
      </colorScale>
    </cfRule>
  </conditionalFormatting>
  <conditionalFormatting sqref="E11">
    <cfRule type="colorScale" priority="11">
      <colorScale>
        <cfvo type="formula" val="$D$11*50%"/>
        <cfvo type="formula" val="$D$11*75%"/>
        <cfvo type="formula" val="$D$11"/>
        <color rgb="FFFF0000"/>
        <color rgb="FFFFFF00"/>
        <color rgb="FF00B050"/>
      </colorScale>
    </cfRule>
  </conditionalFormatting>
  <conditionalFormatting sqref="E12">
    <cfRule type="colorScale" priority="10">
      <colorScale>
        <cfvo type="formula" val="$D$12*50%"/>
        <cfvo type="formula" val="$D$12*75%"/>
        <cfvo type="formula" val="$D$12"/>
        <color rgb="FFFF0000"/>
        <color rgb="FFFFFF00"/>
        <color rgb="FF00B050"/>
      </colorScale>
    </cfRule>
  </conditionalFormatting>
  <conditionalFormatting sqref="E13">
    <cfRule type="colorScale" priority="9">
      <colorScale>
        <cfvo type="num" val="0"/>
        <cfvo type="formula" val="$D$13*75%"/>
        <cfvo type="formula" val="$D$13"/>
        <color rgb="FFFF0000"/>
        <color rgb="FFFFFF00"/>
        <color rgb="FF00B050"/>
      </colorScale>
    </cfRule>
  </conditionalFormatting>
  <conditionalFormatting sqref="E14">
    <cfRule type="colorScale" priority="8">
      <colorScale>
        <cfvo type="num" val="0"/>
        <cfvo type="formula" val="$D$14*75%"/>
        <cfvo type="formula" val="$D$14"/>
        <color rgb="FFFF0000"/>
        <color rgb="FFFFFF00"/>
        <color rgb="FF00B050"/>
      </colorScale>
    </cfRule>
  </conditionalFormatting>
  <conditionalFormatting sqref="E15">
    <cfRule type="colorScale" priority="7">
      <colorScale>
        <cfvo type="formula" val="$D$15*50%"/>
        <cfvo type="formula" val="$D$15*75%"/>
        <cfvo type="formula" val="$D$15"/>
        <color rgb="FFFF0000"/>
        <color rgb="FFFFEB84"/>
        <color rgb="FF00B050"/>
      </colorScale>
    </cfRule>
  </conditionalFormatting>
  <conditionalFormatting sqref="E16">
    <cfRule type="colorScale" priority="6">
      <colorScale>
        <cfvo type="formula" val="$D$16*50%"/>
        <cfvo type="formula" val="$D$16*75%"/>
        <cfvo type="formula" val="$D$16"/>
        <color rgb="FFFF0000"/>
        <color rgb="FFFFFF00"/>
        <color rgb="FF00B050"/>
      </colorScale>
    </cfRule>
  </conditionalFormatting>
  <conditionalFormatting sqref="E17">
    <cfRule type="colorScale" priority="5">
      <colorScale>
        <cfvo type="formula" val="$D$17*50%"/>
        <cfvo type="formula" val="$D$17*75%"/>
        <cfvo type="formula" val="$D$17"/>
        <color rgb="FFFF0000"/>
        <color rgb="FFFFFF00"/>
        <color rgb="FF00B050"/>
      </colorScale>
    </cfRule>
  </conditionalFormatting>
  <conditionalFormatting sqref="E18">
    <cfRule type="colorScale" priority="1">
      <colorScale>
        <cfvo type="formula" val="$D$18*50%"/>
        <cfvo type="formula" val="$D$18*75%"/>
        <cfvo type="formula" val="$D$18"/>
        <color rgb="FFFF0000"/>
        <color rgb="FFFFFF00"/>
        <color rgb="FF00B050"/>
      </colorScale>
    </cfRule>
  </conditionalFormatting>
  <conditionalFormatting sqref="E19">
    <cfRule type="colorScale" priority="4">
      <colorScale>
        <cfvo type="formula" val="$D$19*50%"/>
        <cfvo type="formula" val="$D$19*75%"/>
        <cfvo type="formula" val="$D$19"/>
        <color rgb="FFFF0000"/>
        <color rgb="FFFFFF00"/>
        <color rgb="FF00B050"/>
      </colorScale>
    </cfRule>
  </conditionalFormatting>
  <conditionalFormatting sqref="E20">
    <cfRule type="colorScale" priority="3">
      <colorScale>
        <cfvo type="formula" val="$D$20*50%"/>
        <cfvo type="formula" val="$D$20*75%"/>
        <cfvo type="formula" val="$D$20"/>
        <color rgb="FFFF0000"/>
        <color rgb="FFFFFF00"/>
        <color rgb="FF00B050"/>
      </colorScale>
    </cfRule>
  </conditionalFormatting>
  <conditionalFormatting sqref="E21">
    <cfRule type="colorScale" priority="2">
      <colorScale>
        <cfvo type="formula" val="$D$21*50%"/>
        <cfvo type="formula" val="$D$21*75%"/>
        <cfvo type="formula" val="$D$21"/>
        <color rgb="FFFF0000"/>
        <color rgb="FFFFFF0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Zippy Vaati</dc:creator>
  <cp:lastModifiedBy>Zippy Vaati</cp:lastModifiedBy>
  <dcterms:created xsi:type="dcterms:W3CDTF">2026-04-07T20:49:37Z</dcterms:created>
  <dcterms:modified xsi:type="dcterms:W3CDTF">2026-04-07T21:03:54Z</dcterms:modified>
</cp:coreProperties>
</file>