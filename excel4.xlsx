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s_lewis_cgiar_org/Documents/TAAT/R4D/KPIS/zippy/"/>
    </mc:Choice>
  </mc:AlternateContent>
  <xr:revisionPtr revIDLastSave="1" documentId="8_{875C31F4-9154-409B-BBC4-A716905E0626}" xr6:coauthVersionLast="47" xr6:coauthVersionMax="47" xr10:uidLastSave="{756DB1AE-7DF5-46FD-8B1E-977A3765E60C}"/>
  <bookViews>
    <workbookView xWindow="-110" yWindow="-110" windowWidth="19420" windowHeight="10300" xr2:uid="{78FA16F0-955E-4503-8007-51F7ADFA1162}"/>
  </bookViews>
  <sheets>
    <sheet name="Res, Cap, Product" sheetId="1" r:id="rId1"/>
  </sheets>
  <externalReferences>
    <externalReference r:id="rId2"/>
  </externalReferences>
  <definedNames>
    <definedName name="_Hlk200085589" localSheetId="0">'Res, Cap, Product'!#REF!</definedName>
    <definedName name="_xlnm.Print_Area" localSheetId="0">'Res, Cap, Product'!$B$1:$AU$20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N20" i="1"/>
  <c r="J20" i="1"/>
  <c r="I20" i="1"/>
  <c r="H20" i="1"/>
  <c r="G20" i="1"/>
  <c r="D20" i="1"/>
  <c r="O18" i="1"/>
  <c r="N18" i="1"/>
  <c r="K18" i="1"/>
  <c r="J18" i="1"/>
  <c r="I18" i="1"/>
  <c r="H18" i="1"/>
  <c r="G18" i="1"/>
  <c r="F18" i="1"/>
  <c r="D18" i="1"/>
  <c r="AU17" i="1"/>
  <c r="AT17" i="1"/>
  <c r="AQ17" i="1"/>
  <c r="AP17" i="1"/>
  <c r="AO17" i="1"/>
  <c r="AN17" i="1"/>
  <c r="AM17" i="1"/>
  <c r="AL17" i="1"/>
  <c r="AK17" i="1"/>
  <c r="AJ17" i="1"/>
  <c r="AI17" i="1"/>
  <c r="AE17" i="1"/>
  <c r="AD17" i="1"/>
  <c r="Z17" i="1"/>
  <c r="Y17" i="1"/>
  <c r="X17" i="1"/>
  <c r="W17" i="1"/>
  <c r="V17" i="1"/>
  <c r="U17" i="1"/>
  <c r="T17" i="1"/>
  <c r="S17" i="1"/>
  <c r="O17" i="1"/>
  <c r="N17" i="1"/>
  <c r="L17" i="1"/>
  <c r="K17" i="1"/>
  <c r="J17" i="1"/>
  <c r="I17" i="1"/>
  <c r="H17" i="1"/>
  <c r="G17" i="1"/>
  <c r="F17" i="1"/>
  <c r="E17" i="1"/>
  <c r="D17" i="1"/>
  <c r="AS6" i="1"/>
  <c r="AS17" i="1" s="1"/>
  <c r="AC6" i="1"/>
  <c r="AC17" i="1" s="1"/>
  <c r="AR5" i="1"/>
  <c r="AB5" i="1"/>
  <c r="AA5" i="1"/>
  <c r="AA17" i="1" s="1"/>
  <c r="AU20" i="1" l="1"/>
  <c r="AO20" i="1"/>
  <c r="AJ20" i="1"/>
  <c r="AQ20" i="1"/>
  <c r="AP20" i="1"/>
  <c r="AK20" i="1"/>
  <c r="AS20" i="1"/>
  <c r="AN20" i="1"/>
  <c r="AR20" i="1"/>
  <c r="AM20" i="1"/>
  <c r="AT20" i="1"/>
  <c r="AL20" i="1"/>
  <c r="AB20" i="1"/>
  <c r="W20" i="1"/>
  <c r="AA20" i="1"/>
  <c r="V20" i="1"/>
  <c r="AD20" i="1"/>
  <c r="Y20" i="1"/>
  <c r="T20" i="1"/>
  <c r="AC20" i="1"/>
  <c r="X20" i="1"/>
  <c r="U20" i="1"/>
  <c r="AE20" i="1"/>
  <c r="Z20" i="1"/>
</calcChain>
</file>

<file path=xl/sharedStrings.xml><?xml version="1.0" encoding="utf-8"?>
<sst xmlns="http://schemas.openxmlformats.org/spreadsheetml/2006/main" count="224" uniqueCount="47">
  <si>
    <t>KPI by #</t>
  </si>
  <si>
    <t>KPI by FTE</t>
  </si>
  <si>
    <t>KPI by $</t>
  </si>
  <si>
    <t>Research Outputs</t>
  </si>
  <si>
    <t>Training and Capacity Building</t>
  </si>
  <si>
    <t>Product Development</t>
  </si>
  <si>
    <t>Number of papers published in Thomson-indexed journals</t>
  </si>
  <si>
    <t>Number of papers published in Thomson-indexed journals per IRS</t>
  </si>
  <si>
    <t>Number of Thomson-indexed publications with an impact factor greater than 10.</t>
  </si>
  <si>
    <t>Number of MSc and PhD students enrolled at IITA</t>
  </si>
  <si>
    <t>Number of MSc and PhD thesis defended and accepted</t>
  </si>
  <si>
    <t>Number of extensionists, value chain actors etc.   trained in IITA innovations</t>
  </si>
  <si>
    <t>Number of people (NARS) attending courses delivered by scientists and specialists</t>
  </si>
  <si>
    <t>Varieties released</t>
  </si>
  <si>
    <t>Annual rate of genetic gain, by crop (%)</t>
  </si>
  <si>
    <t>Crop Trust Performance Compliance Rate</t>
  </si>
  <si>
    <t>Number of IITA innovations incorporated into the TAAT e-Catalogue</t>
  </si>
  <si>
    <t>Number of IITA innovations taken on by scaling partners (e.g., IFIs, private sector)</t>
  </si>
  <si>
    <t>FTE</t>
  </si>
  <si>
    <t>USD</t>
  </si>
  <si>
    <t>GI</t>
  </si>
  <si>
    <t>Biotech</t>
  </si>
  <si>
    <t>N/A</t>
  </si>
  <si>
    <t>Breeding</t>
  </si>
  <si>
    <t>Genebanks</t>
  </si>
  <si>
    <t>Seed System</t>
  </si>
  <si>
    <t>RAFS</t>
  </si>
  <si>
    <t>Plant Health</t>
  </si>
  <si>
    <t>Farming Systems Agronomy</t>
  </si>
  <si>
    <t>NRM</t>
  </si>
  <si>
    <t>Mechanization</t>
  </si>
  <si>
    <t>ST</t>
  </si>
  <si>
    <t>FIAS</t>
  </si>
  <si>
    <t>GeYSI</t>
  </si>
  <si>
    <t>RCA</t>
  </si>
  <si>
    <t>Nutrition</t>
  </si>
  <si>
    <t>VCMA</t>
  </si>
  <si>
    <t>Max -Green</t>
  </si>
  <si>
    <t>2025 Actual Values</t>
  </si>
  <si>
    <t>Annual Target</t>
  </si>
  <si>
    <t>Per Program Target (target/13)</t>
  </si>
  <si>
    <t>per Program Target (target/13)</t>
  </si>
  <si>
    <t>Comments</t>
  </si>
  <si>
    <t xml:space="preserve">It looks like the colorscheme is not consistently applied everywhere </t>
  </si>
  <si>
    <t>Pls leave the formulas for values per FTE… you've removed the formulas!</t>
  </si>
  <si>
    <t>(e.g., see the different versions of red in cells G4 and H4)?</t>
  </si>
  <si>
    <t>Column U is already per FTE!!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</si>
</sst>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0.0%"/>
    <numFmt numFmtId="167" formatCode="_(* #,##0_);_(* \(#,##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rgb="FF0070C0"/>
      <name val="Calibri"/>
      <family val="2"/>
    </font>
    <font>
      <sz val="9"/>
      <color theme="1"/>
      <name val="Calibri"/>
      <family val="2"/>
    </font>
    <font>
      <b/>
      <sz val="18"/>
      <color rgb="FF00B0F0"/>
      <name val="Calibri"/>
      <family val="2"/>
    </font>
    <font>
      <b/>
      <sz val="10"/>
      <color rgb="FF0070C0"/>
      <name val="Calibri"/>
      <family val="2"/>
    </font>
    <font>
      <b/>
      <sz val="10"/>
      <color rgb="FF00B0F0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9"/>
      <color theme="1"/>
      <name val="Aptos Narrow"/>
      <family val="2"/>
      <scheme val="minor"/>
    </font>
    <font>
      <sz val="9"/>
      <color rgb="FF0A0A0A"/>
      <name val="Calibri"/>
      <family val="2"/>
    </font>
    <font>
      <b/>
      <sz val="11"/>
      <color rgb="FF00B050"/>
      <name val="Calibri"/>
      <family val="2"/>
    </font>
    <font>
      <b/>
      <sz val="9"/>
      <color rgb="FF00B050"/>
      <name val="Calibri"/>
      <family val="2"/>
    </font>
    <font>
      <b/>
      <sz val="11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9"/>
      <color rgb="FF0070C0"/>
      <name val="Calibri"/>
      <family val="2"/>
    </font>
    <font>
      <b/>
      <sz val="8"/>
      <color rgb="FF0070C0"/>
      <name val="Calibri"/>
      <family val="2"/>
    </font>
    <font>
      <b/>
      <sz val="9"/>
      <color theme="1"/>
      <name val="Calibri"/>
      <family val="2"/>
    </font>
    <font>
      <b/>
      <sz val="14"/>
      <color rgb="FFFF0000"/>
      <name val="Calibri"/>
      <family val="2"/>
    </font>
    <font>
      <sz val="14"/>
      <color rgb="FFFF0000"/>
      <name val="Calibri"/>
      <family val="2"/>
    </font>
    <font>
      <sz val="16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rgb="FF00B050"/>
      </bottom>
      <diagonal/>
    </border>
    <border>
      <left style="medium">
        <color theme="1"/>
      </left>
      <right/>
      <top style="thin">
        <color rgb="FF00B050"/>
      </top>
      <bottom style="thin">
        <color rgb="FF00B050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rgb="FF00B05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64" fontId="2" fillId="0" borderId="0" xfId="0" applyNumberFormat="1" applyFont="1"/>
    <xf numFmtId="0" fontId="3" fillId="2" borderId="8" xfId="0" applyFont="1" applyFill="1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vertical="top"/>
    </xf>
    <xf numFmtId="0" fontId="5" fillId="2" borderId="9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top"/>
    </xf>
    <xf numFmtId="0" fontId="6" fillId="2" borderId="7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5" fillId="2" borderId="10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top"/>
    </xf>
    <xf numFmtId="0" fontId="6" fillId="2" borderId="12" xfId="0" applyFont="1" applyFill="1" applyBorder="1" applyAlignment="1">
      <alignment horizontal="center" vertical="top"/>
    </xf>
    <xf numFmtId="0" fontId="6" fillId="2" borderId="13" xfId="0" applyFont="1" applyFill="1" applyBorder="1" applyAlignment="1">
      <alignment horizontal="center" vertical="top"/>
    </xf>
    <xf numFmtId="0" fontId="6" fillId="2" borderId="14" xfId="0" applyFont="1" applyFill="1" applyBorder="1" applyAlignment="1">
      <alignment horizontal="center" vertical="top"/>
    </xf>
    <xf numFmtId="0" fontId="6" fillId="2" borderId="12" xfId="0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14" xfId="0" applyFont="1" applyFill="1" applyBorder="1" applyAlignment="1">
      <alignment horizontal="center" vertical="top" wrapText="1"/>
    </xf>
    <xf numFmtId="164" fontId="2" fillId="0" borderId="0" xfId="0" applyNumberFormat="1" applyFont="1" applyAlignment="1">
      <alignment vertical="top"/>
    </xf>
    <xf numFmtId="0" fontId="7" fillId="2" borderId="9" xfId="0" applyFont="1" applyFill="1" applyBorder="1" applyAlignment="1">
      <alignment horizontal="center" vertical="top"/>
    </xf>
    <xf numFmtId="165" fontId="7" fillId="2" borderId="15" xfId="1" applyNumberFormat="1" applyFont="1" applyFill="1" applyBorder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4" fillId="0" borderId="0" xfId="0" applyFont="1"/>
    <xf numFmtId="0" fontId="4" fillId="0" borderId="16" xfId="0" applyFont="1" applyBorder="1" applyAlignment="1">
      <alignment horizontal="left" vertical="top"/>
    </xf>
    <xf numFmtId="0" fontId="8" fillId="0" borderId="17" xfId="0" applyFont="1" applyBorder="1" applyAlignment="1">
      <alignment horizontal="center" textRotation="90" wrapText="1" readingOrder="1"/>
    </xf>
    <xf numFmtId="0" fontId="8" fillId="0" borderId="18" xfId="0" applyFont="1" applyBorder="1" applyAlignment="1">
      <alignment horizontal="center" textRotation="90" wrapText="1" readingOrder="1"/>
    </xf>
    <xf numFmtId="0" fontId="8" fillId="0" borderId="19" xfId="0" applyFont="1" applyBorder="1" applyAlignment="1">
      <alignment horizontal="center" textRotation="90" wrapText="1" readingOrder="1"/>
    </xf>
    <xf numFmtId="0" fontId="4" fillId="0" borderId="18" xfId="0" applyFont="1" applyBorder="1" applyAlignment="1">
      <alignment horizontal="center" textRotation="90" wrapText="1" readingOrder="1"/>
    </xf>
    <xf numFmtId="0" fontId="4" fillId="0" borderId="0" xfId="0" applyFont="1" applyAlignment="1">
      <alignment horizontal="center" readingOrder="1"/>
    </xf>
    <xf numFmtId="0" fontId="4" fillId="0" borderId="20" xfId="0" applyFont="1" applyBorder="1" applyAlignment="1">
      <alignment horizontal="left" vertical="top" readingOrder="1"/>
    </xf>
    <xf numFmtId="0" fontId="9" fillId="0" borderId="21" xfId="0" applyFont="1" applyBorder="1" applyAlignment="1">
      <alignment horizontal="center" vertical="top" readingOrder="1"/>
    </xf>
    <xf numFmtId="0" fontId="8" fillId="0" borderId="22" xfId="0" applyFont="1" applyBorder="1" applyAlignment="1">
      <alignment horizontal="center" textRotation="90" wrapText="1" readingOrder="1"/>
    </xf>
    <xf numFmtId="0" fontId="8" fillId="0" borderId="23" xfId="0" applyFont="1" applyBorder="1" applyAlignment="1">
      <alignment horizontal="center" textRotation="90" wrapText="1" readingOrder="1"/>
    </xf>
    <xf numFmtId="0" fontId="8" fillId="0" borderId="24" xfId="0" applyFont="1" applyBorder="1" applyAlignment="1">
      <alignment horizontal="center" textRotation="90" wrapText="1" readingOrder="1"/>
    </xf>
    <xf numFmtId="0" fontId="4" fillId="0" borderId="23" xfId="0" applyFont="1" applyBorder="1" applyAlignment="1">
      <alignment horizontal="center" textRotation="90" wrapText="1" readingOrder="1"/>
    </xf>
    <xf numFmtId="164" fontId="4" fillId="0" borderId="0" xfId="0" applyNumberFormat="1" applyFont="1"/>
    <xf numFmtId="0" fontId="4" fillId="0" borderId="25" xfId="0" applyFont="1" applyBorder="1" applyAlignment="1">
      <alignment horizontal="left" vertical="top" readingOrder="1"/>
    </xf>
    <xf numFmtId="165" fontId="9" fillId="0" borderId="26" xfId="1" applyNumberFormat="1" applyFont="1" applyBorder="1" applyAlignment="1">
      <alignment vertical="top" readingOrder="1"/>
    </xf>
    <xf numFmtId="164" fontId="10" fillId="0" borderId="0" xfId="0" applyNumberFormat="1" applyFont="1"/>
    <xf numFmtId="0" fontId="10" fillId="0" borderId="0" xfId="0" applyFont="1"/>
    <xf numFmtId="0" fontId="6" fillId="2" borderId="27" xfId="0" applyFont="1" applyFill="1" applyBorder="1" applyAlignment="1">
      <alignment horizontal="center" vertical="center" textRotation="90"/>
    </xf>
    <xf numFmtId="0" fontId="8" fillId="0" borderId="10" xfId="0" applyFont="1" applyBorder="1" applyAlignment="1">
      <alignment horizontal="left" vertical="center" wrapText="1"/>
    </xf>
    <xf numFmtId="164" fontId="4" fillId="0" borderId="12" xfId="0" applyNumberFormat="1" applyFont="1" applyBorder="1" applyAlignment="1">
      <alignment horizontal="center"/>
    </xf>
    <xf numFmtId="164" fontId="4" fillId="0" borderId="13" xfId="1" applyNumberFormat="1" applyFont="1" applyBorder="1" applyAlignment="1">
      <alignment horizontal="center"/>
    </xf>
    <xf numFmtId="164" fontId="4" fillId="0" borderId="14" xfId="2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/>
    </xf>
    <xf numFmtId="2" fontId="4" fillId="0" borderId="13" xfId="1" applyNumberFormat="1" applyFont="1" applyBorder="1" applyAlignment="1">
      <alignment horizontal="center"/>
    </xf>
    <xf numFmtId="2" fontId="4" fillId="0" borderId="14" xfId="2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165" fontId="9" fillId="0" borderId="10" xfId="1" applyNumberFormat="1" applyFont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textRotation="90"/>
    </xf>
    <xf numFmtId="0" fontId="8" fillId="0" borderId="29" xfId="0" applyFont="1" applyBorder="1" applyAlignment="1">
      <alignment horizontal="left" vertical="center" wrapText="1"/>
    </xf>
    <xf numFmtId="164" fontId="4" fillId="0" borderId="30" xfId="0" applyNumberFormat="1" applyFont="1" applyBorder="1" applyAlignment="1">
      <alignment horizontal="center"/>
    </xf>
    <xf numFmtId="164" fontId="4" fillId="0" borderId="31" xfId="1" applyNumberFormat="1" applyFont="1" applyBorder="1" applyAlignment="1">
      <alignment horizontal="center"/>
    </xf>
    <xf numFmtId="164" fontId="4" fillId="0" borderId="32" xfId="2" applyNumberFormat="1" applyFont="1" applyBorder="1" applyAlignment="1">
      <alignment horizontal="center"/>
    </xf>
    <xf numFmtId="164" fontId="4" fillId="0" borderId="31" xfId="0" applyNumberFormat="1" applyFont="1" applyBorder="1" applyAlignment="1">
      <alignment horizontal="center"/>
    </xf>
    <xf numFmtId="164" fontId="4" fillId="0" borderId="32" xfId="0" applyNumberFormat="1" applyFont="1" applyBorder="1" applyAlignment="1">
      <alignment horizontal="center"/>
    </xf>
    <xf numFmtId="166" fontId="4" fillId="0" borderId="31" xfId="2" applyNumberFormat="1" applyFont="1" applyBorder="1" applyAlignment="1">
      <alignment horizontal="left" indent="1"/>
    </xf>
    <xf numFmtId="0" fontId="9" fillId="0" borderId="29" xfId="0" applyFont="1" applyBorder="1" applyAlignment="1">
      <alignment horizontal="center" vertical="center" wrapText="1"/>
    </xf>
    <xf numFmtId="2" fontId="4" fillId="0" borderId="30" xfId="0" applyNumberFormat="1" applyFont="1" applyBorder="1" applyAlignment="1">
      <alignment horizontal="center"/>
    </xf>
    <xf numFmtId="2" fontId="4" fillId="0" borderId="31" xfId="1" applyNumberFormat="1" applyFont="1" applyBorder="1" applyAlignment="1">
      <alignment horizontal="center"/>
    </xf>
    <xf numFmtId="2" fontId="4" fillId="0" borderId="32" xfId="2" applyNumberFormat="1" applyFont="1" applyBorder="1" applyAlignment="1">
      <alignment horizontal="center"/>
    </xf>
    <xf numFmtId="2" fontId="4" fillId="0" borderId="31" xfId="0" applyNumberFormat="1" applyFont="1" applyBorder="1" applyAlignment="1">
      <alignment horizontal="center"/>
    </xf>
    <xf numFmtId="2" fontId="4" fillId="0" borderId="32" xfId="0" applyNumberFormat="1" applyFont="1" applyBorder="1" applyAlignment="1">
      <alignment horizontal="center"/>
    </xf>
    <xf numFmtId="165" fontId="9" fillId="0" borderId="29" xfId="1" applyNumberFormat="1" applyFont="1" applyBorder="1" applyAlignment="1">
      <alignment vertical="center" wrapText="1"/>
    </xf>
    <xf numFmtId="9" fontId="4" fillId="0" borderId="31" xfId="2" applyFont="1" applyBorder="1" applyAlignment="1">
      <alignment horizontal="center"/>
    </xf>
    <xf numFmtId="0" fontId="6" fillId="2" borderId="33" xfId="0" applyFont="1" applyFill="1" applyBorder="1" applyAlignment="1">
      <alignment horizontal="center" vertical="center" textRotation="90"/>
    </xf>
    <xf numFmtId="0" fontId="8" fillId="0" borderId="34" xfId="0" applyFont="1" applyBorder="1" applyAlignment="1">
      <alignment horizontal="left" vertical="center" wrapText="1"/>
    </xf>
    <xf numFmtId="164" fontId="4" fillId="0" borderId="35" xfId="0" applyNumberFormat="1" applyFont="1" applyBorder="1" applyAlignment="1">
      <alignment horizontal="center"/>
    </xf>
    <xf numFmtId="164" fontId="4" fillId="0" borderId="36" xfId="1" applyNumberFormat="1" applyFont="1" applyBorder="1" applyAlignment="1">
      <alignment horizontal="center"/>
    </xf>
    <xf numFmtId="164" fontId="4" fillId="0" borderId="37" xfId="2" applyNumberFormat="1" applyFont="1" applyBorder="1" applyAlignment="1">
      <alignment horizontal="center"/>
    </xf>
    <xf numFmtId="164" fontId="4" fillId="0" borderId="36" xfId="0" applyNumberFormat="1" applyFont="1" applyBorder="1" applyAlignment="1">
      <alignment horizontal="center"/>
    </xf>
    <xf numFmtId="164" fontId="4" fillId="0" borderId="37" xfId="0" applyNumberFormat="1" applyFont="1" applyBorder="1" applyAlignment="1">
      <alignment horizontal="center"/>
    </xf>
    <xf numFmtId="0" fontId="9" fillId="0" borderId="34" xfId="0" applyFont="1" applyBorder="1" applyAlignment="1">
      <alignment horizontal="center" vertical="center" wrapText="1"/>
    </xf>
    <xf numFmtId="2" fontId="4" fillId="0" borderId="35" xfId="0" applyNumberFormat="1" applyFont="1" applyBorder="1" applyAlignment="1">
      <alignment horizontal="center"/>
    </xf>
    <xf numFmtId="2" fontId="4" fillId="0" borderId="36" xfId="1" applyNumberFormat="1" applyFont="1" applyBorder="1" applyAlignment="1">
      <alignment horizontal="center"/>
    </xf>
    <xf numFmtId="2" fontId="4" fillId="0" borderId="37" xfId="2" applyNumberFormat="1" applyFont="1" applyBorder="1" applyAlignment="1">
      <alignment horizontal="center"/>
    </xf>
    <xf numFmtId="2" fontId="4" fillId="0" borderId="36" xfId="0" applyNumberFormat="1" applyFont="1" applyBorder="1" applyAlignment="1">
      <alignment horizontal="center"/>
    </xf>
    <xf numFmtId="2" fontId="4" fillId="0" borderId="37" xfId="0" applyNumberFormat="1" applyFont="1" applyBorder="1" applyAlignment="1">
      <alignment horizontal="center"/>
    </xf>
    <xf numFmtId="165" fontId="9" fillId="0" borderId="34" xfId="1" applyNumberFormat="1" applyFont="1" applyBorder="1" applyAlignment="1">
      <alignment vertical="center" wrapText="1"/>
    </xf>
    <xf numFmtId="0" fontId="6" fillId="2" borderId="38" xfId="0" applyFont="1" applyFill="1" applyBorder="1" applyAlignment="1">
      <alignment horizontal="center" vertical="center" textRotation="90"/>
    </xf>
    <xf numFmtId="0" fontId="6" fillId="2" borderId="26" xfId="0" applyFont="1" applyFill="1" applyBorder="1" applyAlignment="1">
      <alignment horizontal="center" vertical="center" textRotation="90"/>
    </xf>
    <xf numFmtId="0" fontId="8" fillId="0" borderId="39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center" vertical="center" wrapText="1"/>
    </xf>
    <xf numFmtId="2" fontId="4" fillId="2" borderId="40" xfId="0" applyNumberFormat="1" applyFont="1" applyFill="1" applyBorder="1" applyAlignment="1">
      <alignment horizontal="center"/>
    </xf>
    <xf numFmtId="2" fontId="4" fillId="2" borderId="41" xfId="1" applyNumberFormat="1" applyFont="1" applyFill="1" applyBorder="1" applyAlignment="1">
      <alignment horizontal="center"/>
    </xf>
    <xf numFmtId="2" fontId="4" fillId="2" borderId="42" xfId="2" applyNumberFormat="1" applyFont="1" applyFill="1" applyBorder="1" applyAlignment="1">
      <alignment horizontal="center"/>
    </xf>
    <xf numFmtId="2" fontId="4" fillId="2" borderId="41" xfId="0" applyNumberFormat="1" applyFont="1" applyFill="1" applyBorder="1" applyAlignment="1">
      <alignment horizontal="center"/>
    </xf>
    <xf numFmtId="2" fontId="4" fillId="0" borderId="41" xfId="0" applyNumberFormat="1" applyFont="1" applyBorder="1" applyAlignment="1">
      <alignment horizontal="center"/>
    </xf>
    <xf numFmtId="2" fontId="4" fillId="0" borderId="42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center"/>
    </xf>
    <xf numFmtId="2" fontId="4" fillId="2" borderId="42" xfId="0" applyNumberFormat="1" applyFont="1" applyFill="1" applyBorder="1" applyAlignment="1">
      <alignment horizontal="center"/>
    </xf>
    <xf numFmtId="165" fontId="9" fillId="0" borderId="39" xfId="1" applyNumberFormat="1" applyFont="1" applyBorder="1" applyAlignment="1">
      <alignment vertical="center" wrapText="1"/>
    </xf>
    <xf numFmtId="2" fontId="4" fillId="2" borderId="30" xfId="0" applyNumberFormat="1" applyFont="1" applyFill="1" applyBorder="1" applyAlignment="1">
      <alignment horizontal="center"/>
    </xf>
    <xf numFmtId="2" fontId="4" fillId="2" borderId="31" xfId="1" applyNumberFormat="1" applyFont="1" applyFill="1" applyBorder="1" applyAlignment="1">
      <alignment horizontal="center"/>
    </xf>
    <xf numFmtId="2" fontId="4" fillId="2" borderId="32" xfId="2" applyNumberFormat="1" applyFont="1" applyFill="1" applyBorder="1" applyAlignment="1">
      <alignment horizontal="center"/>
    </xf>
    <xf numFmtId="2" fontId="4" fillId="2" borderId="31" xfId="0" applyNumberFormat="1" applyFont="1" applyFill="1" applyBorder="1" applyAlignment="1">
      <alignment horizontal="center"/>
    </xf>
    <xf numFmtId="2" fontId="4" fillId="2" borderId="32" xfId="0" applyNumberFormat="1" applyFont="1" applyFill="1" applyBorder="1" applyAlignment="1">
      <alignment horizontal="center"/>
    </xf>
    <xf numFmtId="0" fontId="6" fillId="2" borderId="43" xfId="0" applyFont="1" applyFill="1" applyBorder="1" applyAlignment="1">
      <alignment horizontal="center" vertical="center" textRotation="90"/>
    </xf>
    <xf numFmtId="2" fontId="4" fillId="2" borderId="35" xfId="0" applyNumberFormat="1" applyFont="1" applyFill="1" applyBorder="1" applyAlignment="1">
      <alignment horizontal="center"/>
    </xf>
    <xf numFmtId="2" fontId="4" fillId="2" borderId="36" xfId="1" applyNumberFormat="1" applyFont="1" applyFill="1" applyBorder="1" applyAlignment="1">
      <alignment horizontal="center"/>
    </xf>
    <xf numFmtId="2" fontId="4" fillId="2" borderId="37" xfId="2" applyNumberFormat="1" applyFont="1" applyFill="1" applyBorder="1" applyAlignment="1">
      <alignment horizontal="center"/>
    </xf>
    <xf numFmtId="2" fontId="4" fillId="2" borderId="36" xfId="0" applyNumberFormat="1" applyFont="1" applyFill="1" applyBorder="1" applyAlignment="1">
      <alignment horizontal="center"/>
    </xf>
    <xf numFmtId="2" fontId="4" fillId="2" borderId="37" xfId="0" applyNumberFormat="1" applyFont="1" applyFill="1" applyBorder="1" applyAlignment="1">
      <alignment horizontal="center"/>
    </xf>
    <xf numFmtId="167" fontId="11" fillId="0" borderId="0" xfId="1" applyNumberFormat="1" applyFont="1" applyAlignment="1"/>
    <xf numFmtId="9" fontId="11" fillId="0" borderId="0" xfId="2" applyFont="1" applyAlignment="1"/>
    <xf numFmtId="1" fontId="4" fillId="0" borderId="0" xfId="0" applyNumberFormat="1" applyFont="1" applyAlignment="1">
      <alignment horizontal="center"/>
    </xf>
    <xf numFmtId="165" fontId="11" fillId="0" borderId="0" xfId="1" applyNumberFormat="1" applyFont="1" applyAlignment="1"/>
    <xf numFmtId="164" fontId="11" fillId="0" borderId="0" xfId="1" applyNumberFormat="1" applyFont="1" applyAlignment="1"/>
    <xf numFmtId="165" fontId="4" fillId="0" borderId="0" xfId="1" applyNumberFormat="1" applyFont="1" applyAlignment="1"/>
    <xf numFmtId="0" fontId="12" fillId="0" borderId="0" xfId="0" applyFont="1"/>
    <xf numFmtId="0" fontId="13" fillId="0" borderId="0" xfId="0" applyFont="1"/>
    <xf numFmtId="167" fontId="13" fillId="0" borderId="0" xfId="1" applyNumberFormat="1" applyFont="1" applyAlignment="1"/>
    <xf numFmtId="165" fontId="13" fillId="0" borderId="0" xfId="1" applyNumberFormat="1" applyFont="1" applyAlignment="1"/>
    <xf numFmtId="9" fontId="13" fillId="0" borderId="0" xfId="2" applyFont="1" applyAlignment="1"/>
    <xf numFmtId="1" fontId="13" fillId="0" borderId="0" xfId="0" applyNumberFormat="1" applyFont="1" applyAlignment="1">
      <alignment horizontal="center"/>
    </xf>
    <xf numFmtId="164" fontId="13" fillId="0" borderId="0" xfId="1" applyNumberFormat="1" applyFont="1" applyAlignment="1"/>
    <xf numFmtId="164" fontId="12" fillId="0" borderId="0" xfId="0" applyNumberFormat="1" applyFont="1"/>
    <xf numFmtId="164" fontId="14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67" fontId="16" fillId="0" borderId="0" xfId="1" applyNumberFormat="1" applyFont="1" applyAlignment="1"/>
    <xf numFmtId="0" fontId="16" fillId="0" borderId="0" xfId="2" applyNumberFormat="1" applyFont="1" applyAlignment="1"/>
    <xf numFmtId="167" fontId="17" fillId="0" borderId="0" xfId="1" applyNumberFormat="1" applyFont="1" applyAlignment="1"/>
    <xf numFmtId="10" fontId="16" fillId="0" borderId="0" xfId="2" applyNumberFormat="1" applyFont="1" applyAlignment="1"/>
    <xf numFmtId="9" fontId="16" fillId="0" borderId="0" xfId="0" applyNumberFormat="1" applyFont="1"/>
    <xf numFmtId="0" fontId="16" fillId="0" borderId="0" xfId="0" applyFont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Alignment="1"/>
    <xf numFmtId="2" fontId="16" fillId="0" borderId="0" xfId="0" applyNumberFormat="1" applyFont="1"/>
    <xf numFmtId="0" fontId="16" fillId="0" borderId="0" xfId="0" applyFont="1" applyAlignment="1">
      <alignment horizontal="left"/>
    </xf>
    <xf numFmtId="43" fontId="16" fillId="0" borderId="0" xfId="1" applyFont="1" applyAlignment="1">
      <alignment horizontal="center"/>
    </xf>
    <xf numFmtId="43" fontId="16" fillId="0" borderId="0" xfId="0" applyNumberFormat="1" applyFont="1" applyAlignment="1">
      <alignment horizontal="center"/>
    </xf>
    <xf numFmtId="165" fontId="16" fillId="0" borderId="0" xfId="1" applyNumberFormat="1" applyFont="1" applyAlignment="1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7" fontId="4" fillId="0" borderId="0" xfId="1" applyNumberFormat="1" applyFont="1" applyAlignment="1"/>
    <xf numFmtId="9" fontId="4" fillId="0" borderId="0" xfId="2" applyFont="1" applyAlignment="1">
      <alignment horizontal="center"/>
    </xf>
    <xf numFmtId="0" fontId="19" fillId="0" borderId="0" xfId="0" applyFont="1" applyAlignment="1">
      <alignment horizontal="center"/>
    </xf>
    <xf numFmtId="165" fontId="19" fillId="0" borderId="0" xfId="1" applyNumberFormat="1" applyFont="1" applyAlignment="1"/>
    <xf numFmtId="0" fontId="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5" fontId="20" fillId="0" borderId="0" xfId="1" applyNumberFormat="1" applyFont="1" applyAlignment="1"/>
    <xf numFmtId="0" fontId="21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5" fontId="0" fillId="0" borderId="0" xfId="1" applyNumberFormat="1" applyFont="1" applyAlignment="1"/>
    <xf numFmtId="0" fontId="9" fillId="0" borderId="0" xfId="0" applyFont="1" applyAlignment="1">
      <alignment horizontal="left"/>
    </xf>
    <xf numFmtId="0" fontId="8" fillId="0" borderId="19" xfId="0" applyFont="1" applyFill="1" applyBorder="1" applyAlignment="1">
      <alignment horizontal="center" textRotation="90" wrapText="1" readingOrder="1"/>
    </xf>
    <xf numFmtId="0" fontId="8" fillId="0" borderId="29" xfId="0" applyFont="1" applyFill="1" applyBorder="1" applyAlignment="1">
      <alignment horizontal="left" vertical="center" wrapText="1"/>
    </xf>
    <xf numFmtId="0" fontId="8" fillId="0" borderId="34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SHBOARD/calculations%20-%20KPI%20by%20FTE%20and%20$.xlsx" TargetMode="External"/><Relationship Id="rId2" Type="http://schemas.openxmlformats.org/officeDocument/2006/relationships/externalLinkPath" Target="https://cgiar-my.sharepoint.com/personal/s_lewis_cgiar_org/Documents/TAAT/R4D/KPIS/DASHBOARD/calculations%20-%20KPI%20by%20FTE%20and%20$.xlsx" TargetMode="External"/><Relationship Id="rId1" Type="http://schemas.openxmlformats.org/officeDocument/2006/relationships/externalLinkPath" Target="/personal/s_lewis_cgiar_org/Documents/TAAT/R4D/KPIS/DASHBOARD/calculations%20-%20KPI%20by%20FTE%20and%20$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 1"/>
      <sheetName val="PR 2"/>
      <sheetName val="PR 3"/>
      <sheetName val="PR 4"/>
      <sheetName val="PR 5"/>
      <sheetName val="PR 6"/>
      <sheetName val="PR 7"/>
      <sheetName val="PR 8"/>
      <sheetName val="PR 9"/>
      <sheetName val="PR 10"/>
      <sheetName val="PR 11"/>
      <sheetName val="PR 12"/>
      <sheetName val="PR 13"/>
      <sheetName val="PR 14"/>
      <sheetName val="PR15"/>
      <sheetName val="PR 16"/>
      <sheetName val="PR 18"/>
      <sheetName val="PR 19"/>
      <sheetName val="PR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G4">
            <v>0.65217391304347827</v>
          </cell>
        </row>
      </sheetData>
      <sheetData sheetId="8">
        <row r="4">
          <cell r="G4">
            <v>6.521739130434782E-4</v>
          </cell>
          <cell r="H4">
            <v>1.1792063636465733E-3</v>
          </cell>
        </row>
      </sheetData>
      <sheetData sheetId="9">
        <row r="5">
          <cell r="G5">
            <v>0.25</v>
          </cell>
          <cell r="H5">
            <v>0.28541663693576702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DEB8-93D9-429A-83EC-94776B6110E0}">
  <sheetPr>
    <tabColor rgb="FFFF0000"/>
    <pageSetUpPr fitToPage="1"/>
  </sheetPr>
  <dimension ref="A1:BB25"/>
  <sheetViews>
    <sheetView tabSelected="1" zoomScale="60" zoomScaleNormal="60" zoomScaleSheetLayoutView="75" workbookViewId="0">
      <pane ySplit="3" topLeftCell="A4" activePane="bottomLeft" state="frozen"/>
      <selection activeCell="D3" sqref="D3:E3"/>
      <selection pane="bottomLeft" activeCell="AH9" sqref="AH9:AH16"/>
    </sheetView>
  </sheetViews>
  <sheetFormatPr defaultRowHeight="14.5" x14ac:dyDescent="0.35"/>
  <cols>
    <col min="1" max="1" width="4.26953125" customWidth="1"/>
    <col min="2" max="2" width="3.26953125" bestFit="1" customWidth="1"/>
    <col min="3" max="3" width="24.90625" style="158" bestFit="1" customWidth="1"/>
    <col min="4" max="4" width="8" style="5" customWidth="1"/>
    <col min="5" max="5" width="8" style="154" customWidth="1"/>
    <col min="6" max="6" width="8" style="155" customWidth="1"/>
    <col min="7" max="15" width="8" style="5" customWidth="1"/>
    <col min="16" max="16" width="9.36328125" style="5" customWidth="1"/>
    <col min="17" max="17" width="3.1796875" style="5" customWidth="1"/>
    <col min="18" max="18" width="24.81640625" style="5" bestFit="1" customWidth="1"/>
    <col min="19" max="19" width="7.1796875" style="5" customWidth="1"/>
    <col min="20" max="24" width="6.1796875" style="5" customWidth="1"/>
    <col min="25" max="25" width="8.1796875" style="12" customWidth="1"/>
    <col min="26" max="27" width="6.1796875" style="12" customWidth="1"/>
    <col min="28" max="28" width="7.81640625" style="12" customWidth="1"/>
    <col min="29" max="29" width="6.1796875" style="12" customWidth="1"/>
    <col min="30" max="30" width="7.7265625" style="12" customWidth="1"/>
    <col min="31" max="31" width="6.1796875" style="12" customWidth="1"/>
    <col min="32" max="32" width="5.453125" style="12" customWidth="1"/>
    <col min="33" max="33" width="3.1796875" style="12" customWidth="1"/>
    <col min="34" max="34" width="24.81640625" style="12" bestFit="1" customWidth="1"/>
    <col min="35" max="35" width="6" style="164" customWidth="1"/>
    <col min="36" max="40" width="6.81640625" style="12" customWidth="1"/>
    <col min="41" max="41" width="11.453125" style="12" bestFit="1" customWidth="1"/>
    <col min="42" max="43" width="6.81640625" style="12" customWidth="1"/>
    <col min="44" max="44" width="7.1796875" style="12" bestFit="1" customWidth="1"/>
    <col min="45" max="47" width="6.81640625" style="12" customWidth="1"/>
    <col min="48" max="48" width="8.1796875" style="12" customWidth="1"/>
    <col min="49" max="49" width="6.26953125" style="12" customWidth="1"/>
    <col min="50" max="54" width="8.1796875" style="12" customWidth="1"/>
  </cols>
  <sheetData>
    <row r="1" spans="1:54" ht="24" thickBot="1" x14ac:dyDescent="0.6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R1" s="6" t="s">
        <v>1</v>
      </c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9"/>
      <c r="AF1" s="10"/>
      <c r="AG1" s="10"/>
      <c r="AH1" s="2" t="s">
        <v>2</v>
      </c>
      <c r="AI1" s="11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10"/>
      <c r="AW1" s="10"/>
    </row>
    <row r="2" spans="1:54" s="34" customFormat="1" ht="16" customHeight="1" thickBot="1" x14ac:dyDescent="0.4">
      <c r="A2" s="13"/>
      <c r="B2" s="13"/>
      <c r="C2" s="14"/>
      <c r="D2" s="15" t="s">
        <v>3</v>
      </c>
      <c r="E2" s="16"/>
      <c r="F2" s="17"/>
      <c r="G2" s="18" t="s">
        <v>4</v>
      </c>
      <c r="H2" s="19"/>
      <c r="I2" s="19"/>
      <c r="J2" s="20"/>
      <c r="K2" s="18" t="s">
        <v>5</v>
      </c>
      <c r="L2" s="19"/>
      <c r="M2" s="19"/>
      <c r="N2" s="19"/>
      <c r="O2" s="20"/>
      <c r="P2" s="21"/>
      <c r="Q2" s="21"/>
      <c r="R2" s="22"/>
      <c r="S2" s="23"/>
      <c r="T2" s="24" t="s">
        <v>3</v>
      </c>
      <c r="U2" s="25"/>
      <c r="V2" s="26"/>
      <c r="W2" s="27" t="s">
        <v>4</v>
      </c>
      <c r="X2" s="28"/>
      <c r="Y2" s="28"/>
      <c r="Z2" s="29"/>
      <c r="AA2" s="27" t="s">
        <v>5</v>
      </c>
      <c r="AB2" s="28"/>
      <c r="AC2" s="28"/>
      <c r="AD2" s="28"/>
      <c r="AE2" s="29"/>
      <c r="AF2" s="30"/>
      <c r="AG2" s="30"/>
      <c r="AH2" s="31"/>
      <c r="AI2" s="32"/>
      <c r="AJ2" s="15" t="s">
        <v>3</v>
      </c>
      <c r="AK2" s="16"/>
      <c r="AL2" s="17"/>
      <c r="AM2" s="18" t="s">
        <v>4</v>
      </c>
      <c r="AN2" s="19"/>
      <c r="AO2" s="19"/>
      <c r="AP2" s="20"/>
      <c r="AQ2" s="18" t="s">
        <v>5</v>
      </c>
      <c r="AR2" s="19"/>
      <c r="AS2" s="19"/>
      <c r="AT2" s="19"/>
      <c r="AU2" s="20"/>
      <c r="AV2" s="30"/>
      <c r="AW2" s="30"/>
      <c r="AX2" s="33"/>
      <c r="AY2" s="33"/>
      <c r="AZ2" s="33"/>
      <c r="BA2" s="33"/>
      <c r="BB2" s="33"/>
    </row>
    <row r="3" spans="1:54" s="52" customFormat="1" ht="143.5" customHeight="1" thickBot="1" x14ac:dyDescent="0.35">
      <c r="A3" s="35"/>
      <c r="B3" s="35"/>
      <c r="C3" s="36"/>
      <c r="D3" s="37" t="s">
        <v>6</v>
      </c>
      <c r="E3" s="38" t="s">
        <v>7</v>
      </c>
      <c r="F3" s="39" t="s">
        <v>8</v>
      </c>
      <c r="G3" s="37" t="s">
        <v>9</v>
      </c>
      <c r="H3" s="38" t="s">
        <v>10</v>
      </c>
      <c r="I3" s="38" t="s">
        <v>11</v>
      </c>
      <c r="J3" s="39" t="s">
        <v>12</v>
      </c>
      <c r="K3" s="37" t="s">
        <v>13</v>
      </c>
      <c r="L3" s="40" t="s">
        <v>14</v>
      </c>
      <c r="M3" s="40" t="s">
        <v>15</v>
      </c>
      <c r="N3" s="38" t="s">
        <v>16</v>
      </c>
      <c r="O3" s="166" t="s">
        <v>17</v>
      </c>
      <c r="P3" s="41"/>
      <c r="Q3" s="41"/>
      <c r="R3" s="42"/>
      <c r="S3" s="43" t="s">
        <v>18</v>
      </c>
      <c r="T3" s="44" t="s">
        <v>6</v>
      </c>
      <c r="U3" s="45" t="s">
        <v>7</v>
      </c>
      <c r="V3" s="46" t="s">
        <v>8</v>
      </c>
      <c r="W3" s="44" t="s">
        <v>9</v>
      </c>
      <c r="X3" s="45" t="s">
        <v>10</v>
      </c>
      <c r="Y3" s="45" t="s">
        <v>11</v>
      </c>
      <c r="Z3" s="46" t="s">
        <v>12</v>
      </c>
      <c r="AA3" s="44" t="s">
        <v>13</v>
      </c>
      <c r="AB3" s="47" t="s">
        <v>14</v>
      </c>
      <c r="AC3" s="47" t="s">
        <v>15</v>
      </c>
      <c r="AD3" s="45" t="s">
        <v>16</v>
      </c>
      <c r="AE3" s="46" t="s">
        <v>17</v>
      </c>
      <c r="AF3" s="48"/>
      <c r="AG3" s="48"/>
      <c r="AH3" s="49"/>
      <c r="AI3" s="50" t="s">
        <v>19</v>
      </c>
      <c r="AJ3" s="37" t="s">
        <v>6</v>
      </c>
      <c r="AK3" s="38" t="s">
        <v>7</v>
      </c>
      <c r="AL3" s="39" t="s">
        <v>8</v>
      </c>
      <c r="AM3" s="37" t="s">
        <v>9</v>
      </c>
      <c r="AN3" s="38" t="s">
        <v>10</v>
      </c>
      <c r="AO3" s="38" t="s">
        <v>11</v>
      </c>
      <c r="AP3" s="39" t="s">
        <v>12</v>
      </c>
      <c r="AQ3" s="37" t="s">
        <v>13</v>
      </c>
      <c r="AR3" s="40" t="s">
        <v>14</v>
      </c>
      <c r="AS3" s="40" t="s">
        <v>15</v>
      </c>
      <c r="AT3" s="38" t="s">
        <v>16</v>
      </c>
      <c r="AU3" s="39" t="s">
        <v>17</v>
      </c>
      <c r="AV3" s="48"/>
      <c r="AW3" s="48"/>
      <c r="AX3" s="51"/>
      <c r="AY3" s="51"/>
      <c r="AZ3" s="51"/>
      <c r="BA3" s="51"/>
      <c r="BB3" s="51"/>
    </row>
    <row r="4" spans="1:54" ht="15.65" customHeight="1" x14ac:dyDescent="0.35">
      <c r="A4" s="1"/>
      <c r="B4" s="53" t="s">
        <v>20</v>
      </c>
      <c r="C4" s="54" t="s">
        <v>21</v>
      </c>
      <c r="D4" s="55">
        <v>22</v>
      </c>
      <c r="E4" s="56">
        <v>3.1428571428571428</v>
      </c>
      <c r="F4" s="57">
        <v>1</v>
      </c>
      <c r="G4" s="55">
        <v>1</v>
      </c>
      <c r="H4" s="58">
        <v>1</v>
      </c>
      <c r="I4" s="58">
        <v>68</v>
      </c>
      <c r="J4" s="59">
        <v>184</v>
      </c>
      <c r="K4" s="55" t="s">
        <v>22</v>
      </c>
      <c r="L4" s="58" t="s">
        <v>22</v>
      </c>
      <c r="M4" s="58" t="s">
        <v>22</v>
      </c>
      <c r="N4" s="58">
        <v>1</v>
      </c>
      <c r="O4" s="59">
        <v>0</v>
      </c>
      <c r="Q4" s="53" t="s">
        <v>20</v>
      </c>
      <c r="R4" s="54" t="s">
        <v>21</v>
      </c>
      <c r="S4" s="60">
        <v>7</v>
      </c>
      <c r="T4" s="61">
        <v>3.1428571428571428</v>
      </c>
      <c r="U4" s="62">
        <v>0.44897959183673469</v>
      </c>
      <c r="V4" s="63">
        <v>0.14285714285714285</v>
      </c>
      <c r="W4" s="61">
        <v>0.14285714285714285</v>
      </c>
      <c r="X4" s="64">
        <v>0.14285714285714285</v>
      </c>
      <c r="Y4" s="64">
        <v>9.7142857142857135</v>
      </c>
      <c r="Z4" s="65">
        <v>26.285714285714285</v>
      </c>
      <c r="AA4" s="61" t="s">
        <v>22</v>
      </c>
      <c r="AB4" s="64" t="s">
        <v>22</v>
      </c>
      <c r="AC4" s="64" t="s">
        <v>22</v>
      </c>
      <c r="AD4" s="64">
        <v>0.14285714285714285</v>
      </c>
      <c r="AE4" s="65">
        <v>0</v>
      </c>
      <c r="AF4" s="10"/>
      <c r="AG4" s="53" t="s">
        <v>20</v>
      </c>
      <c r="AH4" s="54" t="s">
        <v>21</v>
      </c>
      <c r="AI4" s="66">
        <v>3.4135987800000001</v>
      </c>
      <c r="AJ4" s="61">
        <v>6.4448113026335205</v>
      </c>
      <c r="AK4" s="62">
        <v>0.92068732894764582</v>
      </c>
      <c r="AL4" s="63">
        <v>0.2929459683015237</v>
      </c>
      <c r="AM4" s="61">
        <v>0.2929459683015237</v>
      </c>
      <c r="AN4" s="64">
        <v>0.2929459683015237</v>
      </c>
      <c r="AO4" s="64">
        <v>1.992032584450361E-5</v>
      </c>
      <c r="AP4" s="65">
        <v>53.902058167480362</v>
      </c>
      <c r="AQ4" s="61" t="s">
        <v>22</v>
      </c>
      <c r="AR4" s="64" t="s">
        <v>22</v>
      </c>
      <c r="AS4" s="64" t="s">
        <v>22</v>
      </c>
      <c r="AT4" s="64">
        <v>0.2929459683015237</v>
      </c>
      <c r="AU4" s="65">
        <v>0</v>
      </c>
      <c r="AV4" s="10"/>
    </row>
    <row r="5" spans="1:54" ht="15.65" customHeight="1" x14ac:dyDescent="0.35">
      <c r="A5" s="1"/>
      <c r="B5" s="67"/>
      <c r="C5" s="68" t="s">
        <v>23</v>
      </c>
      <c r="D5" s="69">
        <v>35</v>
      </c>
      <c r="E5" s="70">
        <v>1.5217391304347827</v>
      </c>
      <c r="F5" s="71">
        <v>0</v>
      </c>
      <c r="G5" s="69">
        <v>24</v>
      </c>
      <c r="H5" s="72">
        <v>28</v>
      </c>
      <c r="I5" s="72">
        <v>108</v>
      </c>
      <c r="J5" s="73">
        <v>214</v>
      </c>
      <c r="K5" s="69">
        <v>15</v>
      </c>
      <c r="L5" s="74">
        <v>1.4999999999999999E-2</v>
      </c>
      <c r="M5" s="72" t="s">
        <v>22</v>
      </c>
      <c r="N5" s="72">
        <v>8</v>
      </c>
      <c r="O5" s="73">
        <v>5</v>
      </c>
      <c r="Q5" s="67"/>
      <c r="R5" s="68" t="s">
        <v>23</v>
      </c>
      <c r="S5" s="75">
        <v>23</v>
      </c>
      <c r="T5" s="76">
        <v>1.5217391304347827</v>
      </c>
      <c r="U5" s="77">
        <v>6.6162570888468816E-2</v>
      </c>
      <c r="V5" s="78">
        <v>0</v>
      </c>
      <c r="W5" s="76">
        <v>1.0434782608695652</v>
      </c>
      <c r="X5" s="79">
        <v>1.2173913043478262</v>
      </c>
      <c r="Y5" s="79">
        <v>4.6956521739130439</v>
      </c>
      <c r="Z5" s="80">
        <v>9.304347826086957</v>
      </c>
      <c r="AA5" s="76">
        <f>'[1]PR 8'!$G$4</f>
        <v>0.65217391304347827</v>
      </c>
      <c r="AB5" s="79">
        <f>'[1]PR 9'!$G$4</f>
        <v>6.521739130434782E-4</v>
      </c>
      <c r="AC5" s="79" t="s">
        <v>22</v>
      </c>
      <c r="AD5" s="79">
        <v>0.34782608695652173</v>
      </c>
      <c r="AE5" s="80">
        <v>0</v>
      </c>
      <c r="AF5" s="10"/>
      <c r="AG5" s="67"/>
      <c r="AH5" s="68" t="s">
        <v>23</v>
      </c>
      <c r="AI5" s="81">
        <v>12.720419820000002</v>
      </c>
      <c r="AJ5" s="76">
        <v>2.7514815151753371</v>
      </c>
      <c r="AK5" s="77">
        <v>0.11962963109457989</v>
      </c>
      <c r="AL5" s="78">
        <v>0</v>
      </c>
      <c r="AM5" s="76">
        <v>1.8867301818345172</v>
      </c>
      <c r="AN5" s="79">
        <v>2.20118521214027</v>
      </c>
      <c r="AO5" s="79">
        <v>8.4902858182553285</v>
      </c>
      <c r="AP5" s="80">
        <v>16.823344121357778</v>
      </c>
      <c r="AQ5" s="76">
        <v>1.18</v>
      </c>
      <c r="AR5" s="79">
        <f>'[1]PR 9'!$H$4</f>
        <v>1.1792063636465733E-3</v>
      </c>
      <c r="AS5" s="79" t="s">
        <v>22</v>
      </c>
      <c r="AT5" s="79">
        <v>0.62891006061150567</v>
      </c>
      <c r="AU5" s="80">
        <v>0</v>
      </c>
      <c r="AV5" s="10"/>
    </row>
    <row r="6" spans="1:54" ht="15.65" customHeight="1" x14ac:dyDescent="0.35">
      <c r="A6" s="1"/>
      <c r="B6" s="67"/>
      <c r="C6" s="68" t="s">
        <v>24</v>
      </c>
      <c r="D6" s="69">
        <v>9</v>
      </c>
      <c r="E6" s="70">
        <v>2.25</v>
      </c>
      <c r="F6" s="71">
        <v>0</v>
      </c>
      <c r="G6" s="69">
        <v>26</v>
      </c>
      <c r="H6" s="72">
        <v>19</v>
      </c>
      <c r="I6" s="72">
        <v>5</v>
      </c>
      <c r="J6" s="73">
        <v>113</v>
      </c>
      <c r="K6" s="69" t="s">
        <v>22</v>
      </c>
      <c r="L6" s="72" t="s">
        <v>22</v>
      </c>
      <c r="M6" s="82">
        <v>1</v>
      </c>
      <c r="N6" s="72">
        <v>0</v>
      </c>
      <c r="O6" s="73">
        <v>0</v>
      </c>
      <c r="Q6" s="67"/>
      <c r="R6" s="68" t="s">
        <v>24</v>
      </c>
      <c r="S6" s="75">
        <v>4</v>
      </c>
      <c r="T6" s="76">
        <v>2.25</v>
      </c>
      <c r="U6" s="77">
        <v>0.5625</v>
      </c>
      <c r="V6" s="78">
        <v>0</v>
      </c>
      <c r="W6" s="76">
        <v>6.5</v>
      </c>
      <c r="X6" s="79">
        <v>4.75</v>
      </c>
      <c r="Y6" s="79">
        <v>1.25</v>
      </c>
      <c r="Z6" s="80">
        <v>28.25</v>
      </c>
      <c r="AA6" s="76" t="s">
        <v>22</v>
      </c>
      <c r="AB6" s="79" t="s">
        <v>22</v>
      </c>
      <c r="AC6" s="79">
        <f>'[1]PR 10'!$G$5</f>
        <v>0.25</v>
      </c>
      <c r="AD6" s="79">
        <v>0</v>
      </c>
      <c r="AE6" s="80">
        <v>0</v>
      </c>
      <c r="AF6" s="10"/>
      <c r="AG6" s="67"/>
      <c r="AH6" s="68" t="s">
        <v>24</v>
      </c>
      <c r="AI6" s="81">
        <v>3.5036499999999999</v>
      </c>
      <c r="AJ6" s="76">
        <v>2.4260414139540196</v>
      </c>
      <c r="AK6" s="77">
        <v>0.64218743310547577</v>
      </c>
      <c r="AL6" s="78">
        <v>0</v>
      </c>
      <c r="AM6" s="76">
        <v>7.4208325603299423</v>
      </c>
      <c r="AN6" s="79">
        <v>5.4229161017795731</v>
      </c>
      <c r="AO6" s="79">
        <v>1.427083184678835</v>
      </c>
      <c r="AP6" s="80">
        <v>32.252079973741665</v>
      </c>
      <c r="AQ6" s="76" t="s">
        <v>22</v>
      </c>
      <c r="AR6" s="79" t="s">
        <v>22</v>
      </c>
      <c r="AS6" s="79">
        <f>'[1]PR 10'!$H$5</f>
        <v>0.28541663693576702</v>
      </c>
      <c r="AT6" s="79">
        <v>0</v>
      </c>
      <c r="AU6" s="80">
        <v>0</v>
      </c>
      <c r="AV6" s="10"/>
    </row>
    <row r="7" spans="1:54" ht="15.65" customHeight="1" thickBot="1" x14ac:dyDescent="0.4">
      <c r="A7" s="1"/>
      <c r="B7" s="83"/>
      <c r="C7" s="84" t="s">
        <v>25</v>
      </c>
      <c r="D7" s="85">
        <v>8</v>
      </c>
      <c r="E7" s="86">
        <v>0.53333333333333333</v>
      </c>
      <c r="F7" s="87">
        <v>0</v>
      </c>
      <c r="G7" s="85">
        <v>5</v>
      </c>
      <c r="H7" s="88">
        <v>7</v>
      </c>
      <c r="I7" s="88">
        <v>2247</v>
      </c>
      <c r="J7" s="89">
        <v>309</v>
      </c>
      <c r="K7" s="85" t="s">
        <v>22</v>
      </c>
      <c r="L7" s="88" t="s">
        <v>22</v>
      </c>
      <c r="M7" s="88" t="s">
        <v>22</v>
      </c>
      <c r="N7" s="88">
        <v>17</v>
      </c>
      <c r="O7" s="89">
        <v>2</v>
      </c>
      <c r="Q7" s="83"/>
      <c r="R7" s="84" t="s">
        <v>25</v>
      </c>
      <c r="S7" s="90">
        <v>15</v>
      </c>
      <c r="T7" s="91">
        <v>0.53333333333333333</v>
      </c>
      <c r="U7" s="92">
        <v>3.5555555555555556E-2</v>
      </c>
      <c r="V7" s="93">
        <v>0</v>
      </c>
      <c r="W7" s="91">
        <v>0.33333333333333331</v>
      </c>
      <c r="X7" s="94">
        <v>0.46666666666666667</v>
      </c>
      <c r="Y7" s="94">
        <v>149.80000000000001</v>
      </c>
      <c r="Z7" s="95">
        <v>20.6</v>
      </c>
      <c r="AA7" s="91" t="s">
        <v>22</v>
      </c>
      <c r="AB7" s="94" t="s">
        <v>22</v>
      </c>
      <c r="AC7" s="94" t="s">
        <v>22</v>
      </c>
      <c r="AD7" s="94">
        <v>1.1333333333333333</v>
      </c>
      <c r="AE7" s="95">
        <v>4.0666666666666664</v>
      </c>
      <c r="AF7" s="10"/>
      <c r="AG7" s="83"/>
      <c r="AH7" s="84" t="s">
        <v>25</v>
      </c>
      <c r="AI7" s="96">
        <v>21.304912170000001</v>
      </c>
      <c r="AJ7" s="91">
        <v>0.37550025722542085</v>
      </c>
      <c r="AK7" s="92">
        <v>2.5033350481694722E-2</v>
      </c>
      <c r="AL7" s="93">
        <v>0</v>
      </c>
      <c r="AM7" s="91">
        <v>0.23468766076588804</v>
      </c>
      <c r="AN7" s="94">
        <v>0.32856272507224321</v>
      </c>
      <c r="AO7" s="94">
        <v>105.46863474819008</v>
      </c>
      <c r="AP7" s="95">
        <v>14.50369743533188</v>
      </c>
      <c r="AQ7" s="91" t="s">
        <v>22</v>
      </c>
      <c r="AR7" s="94" t="s">
        <v>22</v>
      </c>
      <c r="AS7" s="94" t="s">
        <v>22</v>
      </c>
      <c r="AT7" s="94">
        <v>0.79793804660401935</v>
      </c>
      <c r="AU7" s="95">
        <v>2.863189461343834</v>
      </c>
      <c r="AV7" s="10"/>
    </row>
    <row r="8" spans="1:54" ht="15.65" customHeight="1" x14ac:dyDescent="0.35">
      <c r="A8" s="1"/>
      <c r="B8" s="53" t="s">
        <v>26</v>
      </c>
      <c r="C8" s="54" t="s">
        <v>27</v>
      </c>
      <c r="D8" s="55">
        <v>56</v>
      </c>
      <c r="E8" s="56">
        <v>4.666666666666667</v>
      </c>
      <c r="F8" s="57">
        <v>1</v>
      </c>
      <c r="G8" s="55">
        <v>9</v>
      </c>
      <c r="H8" s="58">
        <v>9</v>
      </c>
      <c r="I8" s="58">
        <v>102</v>
      </c>
      <c r="J8" s="59">
        <v>10</v>
      </c>
      <c r="K8" s="55" t="s">
        <v>22</v>
      </c>
      <c r="L8" s="58" t="s">
        <v>22</v>
      </c>
      <c r="M8" s="58" t="s">
        <v>22</v>
      </c>
      <c r="N8" s="58">
        <v>6</v>
      </c>
      <c r="O8" s="59">
        <v>2</v>
      </c>
      <c r="Q8" s="53" t="s">
        <v>26</v>
      </c>
      <c r="R8" s="54" t="s">
        <v>27</v>
      </c>
      <c r="S8" s="60">
        <v>12</v>
      </c>
      <c r="T8" s="61">
        <v>4.666666666666667</v>
      </c>
      <c r="U8" s="62">
        <v>0.3888888888888889</v>
      </c>
      <c r="V8" s="63">
        <v>8.3333333333333329E-2</v>
      </c>
      <c r="W8" s="61">
        <v>0.75</v>
      </c>
      <c r="X8" s="64">
        <v>0.75</v>
      </c>
      <c r="Y8" s="64">
        <v>8.5</v>
      </c>
      <c r="Z8" s="65">
        <v>0.83333333333333337</v>
      </c>
      <c r="AA8" s="61" t="s">
        <v>22</v>
      </c>
      <c r="AB8" s="64" t="s">
        <v>22</v>
      </c>
      <c r="AC8" s="64" t="s">
        <v>22</v>
      </c>
      <c r="AD8" s="64">
        <v>0.5</v>
      </c>
      <c r="AE8" s="65">
        <v>0</v>
      </c>
      <c r="AF8" s="10"/>
      <c r="AG8" s="53" t="s">
        <v>26</v>
      </c>
      <c r="AH8" s="54" t="s">
        <v>27</v>
      </c>
      <c r="AI8" s="66">
        <v>7.721148311538462</v>
      </c>
      <c r="AJ8" s="61">
        <v>7.252807191426923</v>
      </c>
      <c r="AK8" s="62">
        <v>0.60440059928557699</v>
      </c>
      <c r="AL8" s="63">
        <v>0.12951441413262363</v>
      </c>
      <c r="AM8" s="61">
        <v>1.1656297271936127</v>
      </c>
      <c r="AN8" s="64">
        <v>1.1656297271936127</v>
      </c>
      <c r="AO8" s="64">
        <v>13.210470241527611</v>
      </c>
      <c r="AP8" s="65">
        <v>1.2951441413262363</v>
      </c>
      <c r="AQ8" s="61" t="s">
        <v>22</v>
      </c>
      <c r="AR8" s="64" t="s">
        <v>22</v>
      </c>
      <c r="AS8" s="64" t="s">
        <v>22</v>
      </c>
      <c r="AT8" s="64">
        <v>0.77708648479574172</v>
      </c>
      <c r="AU8" s="65">
        <v>0</v>
      </c>
      <c r="AV8" s="10"/>
    </row>
    <row r="9" spans="1:54" ht="15.65" customHeight="1" x14ac:dyDescent="0.35">
      <c r="A9" s="1"/>
      <c r="B9" s="67"/>
      <c r="C9" s="68" t="s">
        <v>28</v>
      </c>
      <c r="D9" s="69">
        <v>13</v>
      </c>
      <c r="E9" s="70">
        <v>0.65</v>
      </c>
      <c r="F9" s="71">
        <v>1</v>
      </c>
      <c r="G9" s="69">
        <v>22</v>
      </c>
      <c r="H9" s="72">
        <v>14</v>
      </c>
      <c r="I9" s="72">
        <v>3185</v>
      </c>
      <c r="J9" s="73">
        <v>233</v>
      </c>
      <c r="K9" s="69" t="s">
        <v>22</v>
      </c>
      <c r="L9" s="72" t="s">
        <v>22</v>
      </c>
      <c r="M9" s="72" t="s">
        <v>22</v>
      </c>
      <c r="N9" s="72">
        <v>1</v>
      </c>
      <c r="O9" s="73">
        <v>9</v>
      </c>
      <c r="Q9" s="67"/>
      <c r="R9" s="68" t="s">
        <v>28</v>
      </c>
      <c r="S9" s="75">
        <v>20</v>
      </c>
      <c r="T9" s="76">
        <v>0.65</v>
      </c>
      <c r="U9" s="77">
        <v>3.2500000000000001E-2</v>
      </c>
      <c r="V9" s="78">
        <v>4.1499999999999995E-2</v>
      </c>
      <c r="W9" s="76">
        <v>1.1000000000000001</v>
      </c>
      <c r="X9" s="79">
        <v>0.7</v>
      </c>
      <c r="Y9" s="79">
        <v>159.25</v>
      </c>
      <c r="Z9" s="80">
        <v>11.65</v>
      </c>
      <c r="AA9" s="76" t="s">
        <v>22</v>
      </c>
      <c r="AB9" s="79" t="s">
        <v>22</v>
      </c>
      <c r="AC9" s="79" t="s">
        <v>22</v>
      </c>
      <c r="AD9" s="79">
        <v>0.05</v>
      </c>
      <c r="AE9" s="80">
        <v>0.85</v>
      </c>
      <c r="AF9" s="10"/>
      <c r="AG9" s="67"/>
      <c r="AH9" s="167" t="s">
        <v>28</v>
      </c>
      <c r="AI9" s="81">
        <v>12.273168915897436</v>
      </c>
      <c r="AJ9" s="76">
        <v>1.0592211424028475</v>
      </c>
      <c r="AK9" s="77">
        <v>5.2961057120142374E-2</v>
      </c>
      <c r="AL9" s="78">
        <v>6.7627196014951027E-2</v>
      </c>
      <c r="AM9" s="76">
        <v>1.7925280871432805</v>
      </c>
      <c r="AN9" s="79">
        <v>1.1406996918184511</v>
      </c>
      <c r="AO9" s="79">
        <v>259.50917988869764</v>
      </c>
      <c r="AP9" s="80">
        <v>18.984502013835652</v>
      </c>
      <c r="AQ9" s="76" t="s">
        <v>22</v>
      </c>
      <c r="AR9" s="79" t="s">
        <v>22</v>
      </c>
      <c r="AS9" s="79" t="s">
        <v>22</v>
      </c>
      <c r="AT9" s="79">
        <v>8.147854941560366E-2</v>
      </c>
      <c r="AU9" s="80">
        <v>1.3851353400652622</v>
      </c>
      <c r="AV9" s="10"/>
    </row>
    <row r="10" spans="1:54" ht="15.65" customHeight="1" x14ac:dyDescent="0.35">
      <c r="A10" s="1"/>
      <c r="B10" s="67"/>
      <c r="C10" s="68" t="s">
        <v>29</v>
      </c>
      <c r="D10" s="69">
        <v>30</v>
      </c>
      <c r="E10" s="70">
        <v>4.2857142857142856</v>
      </c>
      <c r="F10" s="71">
        <v>2</v>
      </c>
      <c r="G10" s="69">
        <v>7</v>
      </c>
      <c r="H10" s="72">
        <v>3</v>
      </c>
      <c r="I10" s="72">
        <v>3754</v>
      </c>
      <c r="J10" s="73">
        <v>20</v>
      </c>
      <c r="K10" s="69" t="s">
        <v>22</v>
      </c>
      <c r="L10" s="72" t="s">
        <v>22</v>
      </c>
      <c r="M10" s="72" t="s">
        <v>22</v>
      </c>
      <c r="N10" s="72">
        <v>10</v>
      </c>
      <c r="O10" s="73">
        <v>2</v>
      </c>
      <c r="Q10" s="67"/>
      <c r="R10" s="68" t="s">
        <v>29</v>
      </c>
      <c r="S10" s="75">
        <v>7</v>
      </c>
      <c r="T10" s="76">
        <v>4.2857142857142856</v>
      </c>
      <c r="U10" s="77">
        <v>0.61224489795918369</v>
      </c>
      <c r="V10" s="78">
        <v>0.2857142857142857</v>
      </c>
      <c r="W10" s="76">
        <v>1</v>
      </c>
      <c r="X10" s="79">
        <v>0.42857142857142855</v>
      </c>
      <c r="Y10" s="79">
        <v>536.28571428571433</v>
      </c>
      <c r="Z10" s="80">
        <v>2.8571428571428572</v>
      </c>
      <c r="AA10" s="76" t="s">
        <v>22</v>
      </c>
      <c r="AB10" s="79" t="s">
        <v>22</v>
      </c>
      <c r="AC10" s="79" t="s">
        <v>22</v>
      </c>
      <c r="AD10" s="79">
        <v>1.4285714285714286</v>
      </c>
      <c r="AE10" s="80">
        <v>2.4285714285714284</v>
      </c>
      <c r="AF10" s="10"/>
      <c r="AG10" s="67"/>
      <c r="AH10" s="167" t="s">
        <v>29</v>
      </c>
      <c r="AI10" s="81">
        <v>7.1819852465641034</v>
      </c>
      <c r="AJ10" s="76">
        <v>4.1771180210029177</v>
      </c>
      <c r="AK10" s="77">
        <v>0.59673114585755971</v>
      </c>
      <c r="AL10" s="78">
        <v>0.27847453473352785</v>
      </c>
      <c r="AM10" s="76">
        <v>0.97466087156734749</v>
      </c>
      <c r="AN10" s="79">
        <v>0.4177118021002918</v>
      </c>
      <c r="AO10" s="79">
        <v>522.69670169483186</v>
      </c>
      <c r="AP10" s="80">
        <v>2.7847453473352788</v>
      </c>
      <c r="AQ10" s="76" t="s">
        <v>22</v>
      </c>
      <c r="AR10" s="79" t="s">
        <v>22</v>
      </c>
      <c r="AS10" s="79" t="s">
        <v>22</v>
      </c>
      <c r="AT10" s="79">
        <v>1.3923726736676394</v>
      </c>
      <c r="AU10" s="80">
        <v>2.3670335452349867</v>
      </c>
      <c r="AV10" s="10"/>
    </row>
    <row r="11" spans="1:54" ht="15.65" customHeight="1" thickBot="1" x14ac:dyDescent="0.4">
      <c r="A11" s="1"/>
      <c r="B11" s="83"/>
      <c r="C11" s="84" t="s">
        <v>30</v>
      </c>
      <c r="D11" s="85">
        <v>1</v>
      </c>
      <c r="E11" s="86">
        <v>0.25</v>
      </c>
      <c r="F11" s="87">
        <v>0</v>
      </c>
      <c r="G11" s="85">
        <v>2</v>
      </c>
      <c r="H11" s="88">
        <v>1</v>
      </c>
      <c r="I11" s="88">
        <v>0</v>
      </c>
      <c r="J11" s="89">
        <v>0</v>
      </c>
      <c r="K11" s="85" t="s">
        <v>22</v>
      </c>
      <c r="L11" s="88" t="s">
        <v>22</v>
      </c>
      <c r="M11" s="88" t="s">
        <v>22</v>
      </c>
      <c r="N11" s="88">
        <v>3</v>
      </c>
      <c r="O11" s="89">
        <v>3</v>
      </c>
      <c r="Q11" s="83"/>
      <c r="R11" s="84" t="s">
        <v>30</v>
      </c>
      <c r="S11" s="90">
        <v>4</v>
      </c>
      <c r="T11" s="91">
        <v>0.25</v>
      </c>
      <c r="U11" s="92">
        <v>6.25E-2</v>
      </c>
      <c r="V11" s="93">
        <v>0</v>
      </c>
      <c r="W11" s="91">
        <v>0.5</v>
      </c>
      <c r="X11" s="94">
        <v>0.25</v>
      </c>
      <c r="Y11" s="94">
        <v>0</v>
      </c>
      <c r="Z11" s="95">
        <v>0</v>
      </c>
      <c r="AA11" s="91" t="s">
        <v>22</v>
      </c>
      <c r="AB11" s="94" t="s">
        <v>22</v>
      </c>
      <c r="AC11" s="94" t="s">
        <v>22</v>
      </c>
      <c r="AD11" s="94">
        <v>0.75</v>
      </c>
      <c r="AE11" s="95">
        <v>0</v>
      </c>
      <c r="AF11" s="10"/>
      <c r="AG11" s="83"/>
      <c r="AH11" s="168" t="s">
        <v>30</v>
      </c>
      <c r="AI11" s="96">
        <v>0.57107699999999995</v>
      </c>
      <c r="AJ11" s="91">
        <v>1.7510773503397967</v>
      </c>
      <c r="AK11" s="92">
        <v>0.43776933758494918</v>
      </c>
      <c r="AL11" s="93">
        <v>0</v>
      </c>
      <c r="AM11" s="91">
        <v>3.5021547006795934</v>
      </c>
      <c r="AN11" s="94">
        <v>1.7510773503397967</v>
      </c>
      <c r="AO11" s="94">
        <v>0</v>
      </c>
      <c r="AP11" s="95">
        <v>0</v>
      </c>
      <c r="AQ11" s="91" t="s">
        <v>22</v>
      </c>
      <c r="AR11" s="94" t="s">
        <v>22</v>
      </c>
      <c r="AS11" s="94" t="s">
        <v>22</v>
      </c>
      <c r="AT11" s="94">
        <v>5.2532320510193893</v>
      </c>
      <c r="AU11" s="95">
        <v>0</v>
      </c>
      <c r="AV11" s="10"/>
    </row>
    <row r="12" spans="1:54" ht="15.65" customHeight="1" x14ac:dyDescent="0.35">
      <c r="A12" s="1"/>
      <c r="B12" s="97" t="s">
        <v>31</v>
      </c>
      <c r="C12" s="54" t="s">
        <v>32</v>
      </c>
      <c r="D12" s="55">
        <v>4</v>
      </c>
      <c r="E12" s="56">
        <v>0.36363636363636365</v>
      </c>
      <c r="F12" s="57">
        <v>0</v>
      </c>
      <c r="G12" s="55">
        <v>5</v>
      </c>
      <c r="H12" s="58">
        <v>5</v>
      </c>
      <c r="I12" s="58">
        <v>94</v>
      </c>
      <c r="J12" s="59">
        <v>109</v>
      </c>
      <c r="K12" s="55" t="s">
        <v>22</v>
      </c>
      <c r="L12" s="58" t="s">
        <v>22</v>
      </c>
      <c r="M12" s="58" t="s">
        <v>22</v>
      </c>
      <c r="N12" s="58">
        <v>0</v>
      </c>
      <c r="O12" s="59">
        <v>0</v>
      </c>
      <c r="Q12" s="98" t="s">
        <v>31</v>
      </c>
      <c r="R12" s="99" t="s">
        <v>32</v>
      </c>
      <c r="S12" s="100">
        <v>11</v>
      </c>
      <c r="T12" s="101">
        <v>0.36363636363636365</v>
      </c>
      <c r="U12" s="102">
        <v>3.3057851239669422E-2</v>
      </c>
      <c r="V12" s="103">
        <v>0</v>
      </c>
      <c r="W12" s="101">
        <v>0.45454545454545453</v>
      </c>
      <c r="X12" s="104">
        <v>0.45454545454545453</v>
      </c>
      <c r="Y12" s="105">
        <v>8.545454545454545</v>
      </c>
      <c r="Z12" s="106">
        <v>9.9090909090909083</v>
      </c>
      <c r="AA12" s="107" t="s">
        <v>22</v>
      </c>
      <c r="AB12" s="105" t="s">
        <v>22</v>
      </c>
      <c r="AC12" s="105" t="s">
        <v>22</v>
      </c>
      <c r="AD12" s="104">
        <v>0</v>
      </c>
      <c r="AE12" s="108">
        <v>0</v>
      </c>
      <c r="AF12" s="10"/>
      <c r="AG12" s="97" t="s">
        <v>31</v>
      </c>
      <c r="AH12" s="169" t="s">
        <v>32</v>
      </c>
      <c r="AI12" s="109">
        <v>1.3649733500000001</v>
      </c>
      <c r="AJ12" s="61">
        <v>2.9304601441486016</v>
      </c>
      <c r="AK12" s="62">
        <v>0.26640546764987288</v>
      </c>
      <c r="AL12" s="63">
        <v>0</v>
      </c>
      <c r="AM12" s="61">
        <v>3.6630751801857522</v>
      </c>
      <c r="AN12" s="64">
        <v>3.6630751801857522</v>
      </c>
      <c r="AO12" s="64">
        <v>68.865813387492139</v>
      </c>
      <c r="AP12" s="65">
        <v>79.855038928049396</v>
      </c>
      <c r="AQ12" s="107" t="s">
        <v>22</v>
      </c>
      <c r="AR12" s="64" t="s">
        <v>22</v>
      </c>
      <c r="AS12" s="64" t="s">
        <v>22</v>
      </c>
      <c r="AT12" s="64">
        <v>0</v>
      </c>
      <c r="AU12" s="65">
        <v>0</v>
      </c>
      <c r="AV12" s="10"/>
    </row>
    <row r="13" spans="1:54" ht="15.65" customHeight="1" x14ac:dyDescent="0.35">
      <c r="A13" s="1"/>
      <c r="B13" s="98"/>
      <c r="C13" s="68" t="s">
        <v>33</v>
      </c>
      <c r="D13" s="69">
        <v>8</v>
      </c>
      <c r="E13" s="70">
        <v>0.72727272727272729</v>
      </c>
      <c r="F13" s="71">
        <v>0</v>
      </c>
      <c r="G13" s="69">
        <v>4</v>
      </c>
      <c r="H13" s="72">
        <v>3</v>
      </c>
      <c r="I13" s="72">
        <v>1912</v>
      </c>
      <c r="J13" s="73">
        <v>156</v>
      </c>
      <c r="K13" s="69" t="s">
        <v>22</v>
      </c>
      <c r="L13" s="72" t="s">
        <v>22</v>
      </c>
      <c r="M13" s="72" t="s">
        <v>22</v>
      </c>
      <c r="N13" s="72">
        <v>0</v>
      </c>
      <c r="O13" s="73">
        <v>0</v>
      </c>
      <c r="Q13" s="98"/>
      <c r="R13" s="68" t="s">
        <v>33</v>
      </c>
      <c r="S13" s="75">
        <v>11</v>
      </c>
      <c r="T13" s="110">
        <v>0.72727272727272729</v>
      </c>
      <c r="U13" s="111">
        <v>6.6115702479338845E-2</v>
      </c>
      <c r="V13" s="112">
        <v>0</v>
      </c>
      <c r="W13" s="110">
        <v>0.36363636363636365</v>
      </c>
      <c r="X13" s="113">
        <v>0.27272727272727271</v>
      </c>
      <c r="Y13" s="79">
        <v>173.81818181818181</v>
      </c>
      <c r="Z13" s="80">
        <v>14.181818181818182</v>
      </c>
      <c r="AA13" s="76" t="s">
        <v>22</v>
      </c>
      <c r="AB13" s="79" t="s">
        <v>22</v>
      </c>
      <c r="AC13" s="79" t="s">
        <v>22</v>
      </c>
      <c r="AD13" s="113">
        <v>0.22727272727272727</v>
      </c>
      <c r="AE13" s="114">
        <v>0.90909090909090906</v>
      </c>
      <c r="AF13" s="10"/>
      <c r="AG13" s="98"/>
      <c r="AH13" s="167" t="s">
        <v>33</v>
      </c>
      <c r="AI13" s="81">
        <v>7.5363555180000006</v>
      </c>
      <c r="AJ13" s="76">
        <v>1.0615210469958085</v>
      </c>
      <c r="AK13" s="77">
        <v>9.6501913363255337E-2</v>
      </c>
      <c r="AL13" s="78">
        <v>0</v>
      </c>
      <c r="AM13" s="76">
        <v>0.53076052349790426</v>
      </c>
      <c r="AN13" s="79">
        <v>0.39807039262342825</v>
      </c>
      <c r="AO13" s="79">
        <v>253.70353023199826</v>
      </c>
      <c r="AP13" s="80">
        <v>20.699660416418268</v>
      </c>
      <c r="AQ13" s="76" t="s">
        <v>22</v>
      </c>
      <c r="AR13" s="79" t="s">
        <v>22</v>
      </c>
      <c r="AS13" s="79" t="s">
        <v>22</v>
      </c>
      <c r="AT13" s="79">
        <v>0.33172532718619019</v>
      </c>
      <c r="AU13" s="80">
        <v>1.3269013087447608</v>
      </c>
      <c r="AV13" s="10"/>
    </row>
    <row r="14" spans="1:54" ht="15.65" customHeight="1" x14ac:dyDescent="0.35">
      <c r="A14" s="1"/>
      <c r="B14" s="98"/>
      <c r="C14" s="68" t="s">
        <v>34</v>
      </c>
      <c r="D14" s="69">
        <v>11</v>
      </c>
      <c r="E14" s="70">
        <v>2.2000000000000002</v>
      </c>
      <c r="F14" s="71">
        <v>1</v>
      </c>
      <c r="G14" s="69">
        <v>1</v>
      </c>
      <c r="H14" s="72">
        <v>2</v>
      </c>
      <c r="I14" s="72">
        <v>0</v>
      </c>
      <c r="J14" s="73">
        <v>0</v>
      </c>
      <c r="K14" s="69" t="s">
        <v>22</v>
      </c>
      <c r="L14" s="72" t="s">
        <v>22</v>
      </c>
      <c r="M14" s="72" t="s">
        <v>22</v>
      </c>
      <c r="N14" s="72">
        <v>0</v>
      </c>
      <c r="O14" s="73">
        <v>0</v>
      </c>
      <c r="Q14" s="98"/>
      <c r="R14" s="68" t="s">
        <v>34</v>
      </c>
      <c r="S14" s="75">
        <v>5</v>
      </c>
      <c r="T14" s="110">
        <v>2.2000000000000002</v>
      </c>
      <c r="U14" s="111">
        <v>0.44000000000000006</v>
      </c>
      <c r="V14" s="112">
        <v>0.2</v>
      </c>
      <c r="W14" s="110">
        <v>0.2</v>
      </c>
      <c r="X14" s="113">
        <v>0.4</v>
      </c>
      <c r="Y14" s="79">
        <v>0</v>
      </c>
      <c r="Z14" s="80">
        <v>0</v>
      </c>
      <c r="AA14" s="76" t="s">
        <v>22</v>
      </c>
      <c r="AB14" s="79" t="s">
        <v>22</v>
      </c>
      <c r="AC14" s="79" t="s">
        <v>22</v>
      </c>
      <c r="AD14" s="113">
        <v>0.5</v>
      </c>
      <c r="AE14" s="114">
        <v>0.2</v>
      </c>
      <c r="AF14" s="10"/>
      <c r="AG14" s="98"/>
      <c r="AH14" s="167" t="s">
        <v>34</v>
      </c>
      <c r="AI14" s="81">
        <v>2.1255060000000001</v>
      </c>
      <c r="AJ14" s="76">
        <v>5.1752382726748358</v>
      </c>
      <c r="AK14" s="77">
        <v>1.0350476545349672</v>
      </c>
      <c r="AL14" s="78">
        <v>0.47047620660680323</v>
      </c>
      <c r="AM14" s="76">
        <v>0.47047620660680323</v>
      </c>
      <c r="AN14" s="79">
        <v>0.94095241321360645</v>
      </c>
      <c r="AO14" s="79">
        <v>0</v>
      </c>
      <c r="AP14" s="80">
        <v>0</v>
      </c>
      <c r="AQ14" s="76" t="s">
        <v>22</v>
      </c>
      <c r="AR14" s="79" t="s">
        <v>22</v>
      </c>
      <c r="AS14" s="79" t="s">
        <v>22</v>
      </c>
      <c r="AT14" s="79">
        <v>1.1761905165170081</v>
      </c>
      <c r="AU14" s="80">
        <v>0.47047620660680323</v>
      </c>
      <c r="AV14" s="10"/>
    </row>
    <row r="15" spans="1:54" ht="15.65" customHeight="1" x14ac:dyDescent="0.35">
      <c r="A15" s="1"/>
      <c r="B15" s="98"/>
      <c r="C15" s="68" t="s">
        <v>35</v>
      </c>
      <c r="D15" s="69">
        <v>14</v>
      </c>
      <c r="E15" s="70">
        <v>3.5</v>
      </c>
      <c r="F15" s="71">
        <v>0</v>
      </c>
      <c r="G15" s="69">
        <v>2</v>
      </c>
      <c r="H15" s="72">
        <v>8</v>
      </c>
      <c r="I15" s="72">
        <v>130</v>
      </c>
      <c r="J15" s="73">
        <v>15</v>
      </c>
      <c r="K15" s="69" t="s">
        <v>22</v>
      </c>
      <c r="L15" s="72" t="s">
        <v>22</v>
      </c>
      <c r="M15" s="72" t="s">
        <v>22</v>
      </c>
      <c r="N15" s="72">
        <v>0</v>
      </c>
      <c r="O15" s="73">
        <v>0</v>
      </c>
      <c r="Q15" s="98"/>
      <c r="R15" s="68" t="s">
        <v>35</v>
      </c>
      <c r="S15" s="75">
        <v>4</v>
      </c>
      <c r="T15" s="110">
        <v>3.5</v>
      </c>
      <c r="U15" s="111">
        <v>0.875</v>
      </c>
      <c r="V15" s="112">
        <v>0</v>
      </c>
      <c r="W15" s="110">
        <v>0.5</v>
      </c>
      <c r="X15" s="113">
        <v>2</v>
      </c>
      <c r="Y15" s="79">
        <v>32.5</v>
      </c>
      <c r="Z15" s="80">
        <v>3.75</v>
      </c>
      <c r="AA15" s="76" t="s">
        <v>22</v>
      </c>
      <c r="AB15" s="79" t="s">
        <v>22</v>
      </c>
      <c r="AC15" s="79" t="s">
        <v>22</v>
      </c>
      <c r="AD15" s="113">
        <v>0</v>
      </c>
      <c r="AE15" s="114">
        <v>0</v>
      </c>
      <c r="AF15" s="10"/>
      <c r="AG15" s="98"/>
      <c r="AH15" s="167" t="s">
        <v>35</v>
      </c>
      <c r="AI15" s="81">
        <v>1.4569589599999999</v>
      </c>
      <c r="AJ15" s="76">
        <v>9.6090558377842026</v>
      </c>
      <c r="AK15" s="77">
        <v>2.4022639594460506</v>
      </c>
      <c r="AL15" s="78">
        <v>0</v>
      </c>
      <c r="AM15" s="76">
        <v>1.3727222625406004</v>
      </c>
      <c r="AN15" s="79">
        <v>5.4908890501624015</v>
      </c>
      <c r="AO15" s="79">
        <v>89.226947065139029</v>
      </c>
      <c r="AP15" s="80">
        <v>10.295416969054504</v>
      </c>
      <c r="AQ15" s="76" t="s">
        <v>22</v>
      </c>
      <c r="AR15" s="79" t="s">
        <v>22</v>
      </c>
      <c r="AS15" s="79" t="s">
        <v>22</v>
      </c>
      <c r="AT15" s="79">
        <v>0</v>
      </c>
      <c r="AU15" s="80">
        <v>0</v>
      </c>
      <c r="AV15" s="10"/>
    </row>
    <row r="16" spans="1:54" ht="15.65" customHeight="1" thickBot="1" x14ac:dyDescent="0.4">
      <c r="A16" s="1"/>
      <c r="B16" s="115"/>
      <c r="C16" s="84" t="s">
        <v>36</v>
      </c>
      <c r="D16" s="85">
        <v>10</v>
      </c>
      <c r="E16" s="86">
        <v>1</v>
      </c>
      <c r="F16" s="87">
        <v>0</v>
      </c>
      <c r="G16" s="85">
        <v>5</v>
      </c>
      <c r="H16" s="88">
        <v>3</v>
      </c>
      <c r="I16" s="88">
        <v>1007</v>
      </c>
      <c r="J16" s="89">
        <v>81</v>
      </c>
      <c r="K16" s="85" t="s">
        <v>22</v>
      </c>
      <c r="L16" s="88" t="s">
        <v>22</v>
      </c>
      <c r="M16" s="88" t="s">
        <v>22</v>
      </c>
      <c r="N16" s="88">
        <v>5</v>
      </c>
      <c r="O16" s="89">
        <v>0</v>
      </c>
      <c r="Q16" s="115"/>
      <c r="R16" s="84" t="s">
        <v>36</v>
      </c>
      <c r="S16" s="90">
        <v>10</v>
      </c>
      <c r="T16" s="116">
        <v>0.45</v>
      </c>
      <c r="U16" s="117">
        <v>0.1</v>
      </c>
      <c r="V16" s="118">
        <v>0</v>
      </c>
      <c r="W16" s="116">
        <v>0.5</v>
      </c>
      <c r="X16" s="119">
        <v>0.3</v>
      </c>
      <c r="Y16" s="94">
        <v>100.7</v>
      </c>
      <c r="Z16" s="95">
        <v>8.1</v>
      </c>
      <c r="AA16" s="91" t="s">
        <v>22</v>
      </c>
      <c r="AB16" s="94" t="s">
        <v>22</v>
      </c>
      <c r="AC16" s="94" t="s">
        <v>22</v>
      </c>
      <c r="AD16" s="119">
        <v>0</v>
      </c>
      <c r="AE16" s="120">
        <v>0.2</v>
      </c>
      <c r="AF16" s="10"/>
      <c r="AG16" s="115"/>
      <c r="AH16" s="168" t="s">
        <v>36</v>
      </c>
      <c r="AI16" s="96">
        <v>5.7995670199999996</v>
      </c>
      <c r="AJ16" s="91">
        <v>1.7242666505128172</v>
      </c>
      <c r="AK16" s="92">
        <v>0.17242666505128171</v>
      </c>
      <c r="AL16" s="93">
        <v>0</v>
      </c>
      <c r="AM16" s="91">
        <v>0.86213332525640862</v>
      </c>
      <c r="AN16" s="94">
        <v>0.51727999515384515</v>
      </c>
      <c r="AO16" s="94">
        <v>173.63365170664068</v>
      </c>
      <c r="AP16" s="95">
        <v>13.966559869153819</v>
      </c>
      <c r="AQ16" s="91" t="s">
        <v>22</v>
      </c>
      <c r="AR16" s="94" t="s">
        <v>22</v>
      </c>
      <c r="AS16" s="94" t="s">
        <v>22</v>
      </c>
      <c r="AT16" s="94">
        <v>0</v>
      </c>
      <c r="AU16" s="95">
        <v>0.34485333010256342</v>
      </c>
      <c r="AV16" s="10"/>
    </row>
    <row r="17" spans="1:54" x14ac:dyDescent="0.35">
      <c r="A17" s="1"/>
      <c r="B17" s="1"/>
      <c r="C17" s="35" t="s">
        <v>37</v>
      </c>
      <c r="D17" s="121">
        <f>MAX(D4:D16)</f>
        <v>56</v>
      </c>
      <c r="E17" s="121">
        <f t="shared" ref="E17:O17" si="0">MAX(E4:E16)</f>
        <v>4.666666666666667</v>
      </c>
      <c r="F17" s="121">
        <f t="shared" si="0"/>
        <v>2</v>
      </c>
      <c r="G17" s="121">
        <f t="shared" si="0"/>
        <v>26</v>
      </c>
      <c r="H17" s="121">
        <f t="shared" si="0"/>
        <v>28</v>
      </c>
      <c r="I17" s="121">
        <f t="shared" si="0"/>
        <v>3754</v>
      </c>
      <c r="J17" s="121">
        <f t="shared" si="0"/>
        <v>309</v>
      </c>
      <c r="K17" s="121">
        <f t="shared" si="0"/>
        <v>15</v>
      </c>
      <c r="L17" s="121">
        <f t="shared" si="0"/>
        <v>1.4999999999999999E-2</v>
      </c>
      <c r="M17" s="122">
        <v>1</v>
      </c>
      <c r="N17" s="121">
        <f t="shared" si="0"/>
        <v>17</v>
      </c>
      <c r="O17" s="121">
        <f t="shared" si="0"/>
        <v>9</v>
      </c>
      <c r="P17" s="35"/>
      <c r="Q17" s="35"/>
      <c r="R17" s="35" t="s">
        <v>37</v>
      </c>
      <c r="S17" s="123">
        <f>SUM(S4:S16)</f>
        <v>133</v>
      </c>
      <c r="T17" s="124">
        <f>MAX(T4:T16)</f>
        <v>4.666666666666667</v>
      </c>
      <c r="U17" s="124">
        <f t="shared" ref="U17:AE17" si="1">MAX(U4:U16)</f>
        <v>0.875</v>
      </c>
      <c r="V17" s="124">
        <f t="shared" si="1"/>
        <v>0.2857142857142857</v>
      </c>
      <c r="W17" s="124">
        <f t="shared" si="1"/>
        <v>6.5</v>
      </c>
      <c r="X17" s="124">
        <f t="shared" si="1"/>
        <v>4.75</v>
      </c>
      <c r="Y17" s="125">
        <f t="shared" si="1"/>
        <v>536.28571428571433</v>
      </c>
      <c r="Z17" s="124">
        <f t="shared" si="1"/>
        <v>28.25</v>
      </c>
      <c r="AA17" s="124">
        <f t="shared" si="1"/>
        <v>0.65217391304347827</v>
      </c>
      <c r="AB17" s="124" t="s">
        <v>22</v>
      </c>
      <c r="AC17" s="124">
        <f t="shared" si="1"/>
        <v>0.25</v>
      </c>
      <c r="AD17" s="124">
        <f t="shared" si="1"/>
        <v>1.4285714285714286</v>
      </c>
      <c r="AE17" s="124">
        <f t="shared" si="1"/>
        <v>4.0666666666666664</v>
      </c>
      <c r="AF17" s="10"/>
      <c r="AG17" s="10"/>
      <c r="AH17" s="35" t="s">
        <v>37</v>
      </c>
      <c r="AI17" s="126">
        <f>SUM(AI4:AI16)</f>
        <v>86.97332109200002</v>
      </c>
      <c r="AJ17" s="124">
        <f>MAX(AJ4:AJ16)</f>
        <v>9.6090558377842026</v>
      </c>
      <c r="AK17" s="124">
        <f t="shared" ref="AK17:AU17" si="2">MAX(AK4:AK16)</f>
        <v>2.4022639594460506</v>
      </c>
      <c r="AL17" s="124">
        <f t="shared" si="2"/>
        <v>0.47047620660680323</v>
      </c>
      <c r="AM17" s="124">
        <f t="shared" si="2"/>
        <v>7.4208325603299423</v>
      </c>
      <c r="AN17" s="124">
        <f t="shared" si="2"/>
        <v>5.4908890501624015</v>
      </c>
      <c r="AO17" s="124">
        <f t="shared" si="2"/>
        <v>522.69670169483186</v>
      </c>
      <c r="AP17" s="125">
        <f t="shared" si="2"/>
        <v>79.855038928049396</v>
      </c>
      <c r="AQ17" s="124">
        <f t="shared" si="2"/>
        <v>1.18</v>
      </c>
      <c r="AR17" s="124" t="s">
        <v>22</v>
      </c>
      <c r="AS17" s="124">
        <f t="shared" si="2"/>
        <v>0.28541663693576702</v>
      </c>
      <c r="AT17" s="124">
        <f t="shared" si="2"/>
        <v>5.2532320510193893</v>
      </c>
      <c r="AU17" s="124">
        <f t="shared" si="2"/>
        <v>2.863189461343834</v>
      </c>
      <c r="AV17" s="10"/>
    </row>
    <row r="18" spans="1:54" s="136" customFormat="1" x14ac:dyDescent="0.35">
      <c r="A18" s="127"/>
      <c r="B18" s="127"/>
      <c r="C18" s="128" t="s">
        <v>38</v>
      </c>
      <c r="D18" s="129">
        <f>SUM(D4:D16)</f>
        <v>221</v>
      </c>
      <c r="E18" s="130">
        <v>1.930093819224254</v>
      </c>
      <c r="F18" s="129">
        <f>SUM(F4:F16)</f>
        <v>6</v>
      </c>
      <c r="G18" s="129">
        <f t="shared" ref="G18:O18" si="3">SUM(G4:G16)</f>
        <v>113</v>
      </c>
      <c r="H18" s="129">
        <f t="shared" si="3"/>
        <v>103</v>
      </c>
      <c r="I18" s="129">
        <f t="shared" si="3"/>
        <v>12612</v>
      </c>
      <c r="J18" s="129">
        <f t="shared" si="3"/>
        <v>1444</v>
      </c>
      <c r="K18" s="129">
        <f t="shared" si="3"/>
        <v>15</v>
      </c>
      <c r="L18" s="129">
        <v>1.4999999999999999E-2</v>
      </c>
      <c r="M18" s="131">
        <v>1</v>
      </c>
      <c r="N18" s="129">
        <f t="shared" si="3"/>
        <v>51</v>
      </c>
      <c r="O18" s="129">
        <f t="shared" si="3"/>
        <v>23</v>
      </c>
      <c r="P18" s="128"/>
      <c r="Q18" s="128"/>
      <c r="R18" s="128"/>
      <c r="S18" s="132"/>
      <c r="T18" s="130"/>
      <c r="U18" s="130"/>
      <c r="V18" s="130"/>
      <c r="W18" s="130"/>
      <c r="X18" s="130"/>
      <c r="Y18" s="133"/>
      <c r="Z18" s="130"/>
      <c r="AA18" s="130"/>
      <c r="AB18" s="130"/>
      <c r="AC18" s="130"/>
      <c r="AD18" s="130"/>
      <c r="AE18" s="130"/>
      <c r="AF18" s="134"/>
      <c r="AG18" s="134"/>
      <c r="AH18" s="128"/>
      <c r="AI18" s="130"/>
      <c r="AJ18" s="130"/>
      <c r="AK18" s="130"/>
      <c r="AL18" s="130"/>
      <c r="AM18" s="130"/>
      <c r="AN18" s="130"/>
      <c r="AO18" s="130"/>
      <c r="AP18" s="133"/>
      <c r="AQ18" s="130"/>
      <c r="AR18" s="130"/>
      <c r="AS18" s="130"/>
      <c r="AT18" s="130"/>
      <c r="AU18" s="130"/>
      <c r="AV18" s="134"/>
      <c r="AW18" s="135"/>
      <c r="AX18" s="135"/>
      <c r="AY18" s="135"/>
      <c r="AZ18" s="135"/>
      <c r="BA18" s="135"/>
      <c r="BB18" s="135"/>
    </row>
    <row r="19" spans="1:54" s="137" customFormat="1" x14ac:dyDescent="0.35">
      <c r="C19" s="138" t="s">
        <v>39</v>
      </c>
      <c r="D19" s="138">
        <v>272</v>
      </c>
      <c r="E19" s="139">
        <v>2</v>
      </c>
      <c r="F19" s="140">
        <v>1</v>
      </c>
      <c r="G19" s="138">
        <v>150</v>
      </c>
      <c r="H19" s="138">
        <v>60</v>
      </c>
      <c r="I19" s="141">
        <v>12000</v>
      </c>
      <c r="J19" s="138">
        <v>150</v>
      </c>
      <c r="K19" s="138">
        <v>1</v>
      </c>
      <c r="L19" s="142">
        <v>1.4999999999999999E-2</v>
      </c>
      <c r="M19" s="143">
        <v>1</v>
      </c>
      <c r="N19" s="138">
        <v>20</v>
      </c>
      <c r="O19" s="138">
        <v>30</v>
      </c>
      <c r="P19" s="138"/>
      <c r="Q19" s="138"/>
      <c r="R19" s="138"/>
      <c r="S19" s="144"/>
      <c r="T19" s="138"/>
      <c r="U19" s="138"/>
      <c r="V19" s="138"/>
      <c r="W19" s="138"/>
      <c r="X19" s="138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6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</row>
    <row r="20" spans="1:54" s="137" customFormat="1" x14ac:dyDescent="0.35">
      <c r="C20" s="138" t="s">
        <v>40</v>
      </c>
      <c r="D20" s="147">
        <f>D19/13</f>
        <v>20.923076923076923</v>
      </c>
      <c r="E20" s="147">
        <v>2</v>
      </c>
      <c r="F20" s="147">
        <v>1</v>
      </c>
      <c r="G20" s="147">
        <f t="shared" ref="G20:J20" si="4">G19/13</f>
        <v>11.538461538461538</v>
      </c>
      <c r="H20" s="147">
        <f t="shared" si="4"/>
        <v>4.615384615384615</v>
      </c>
      <c r="I20" s="147">
        <f t="shared" si="4"/>
        <v>923.07692307692309</v>
      </c>
      <c r="J20" s="147">
        <f t="shared" si="4"/>
        <v>11.538461538461538</v>
      </c>
      <c r="K20" s="147"/>
      <c r="L20" s="147"/>
      <c r="M20" s="147"/>
      <c r="N20" s="147">
        <f t="shared" ref="N20:O20" si="5">N19/13</f>
        <v>1.5384615384615385</v>
      </c>
      <c r="O20" s="147">
        <f t="shared" si="5"/>
        <v>2.3076923076923075</v>
      </c>
      <c r="P20" s="144"/>
      <c r="Q20" s="144"/>
      <c r="R20" s="148" t="s">
        <v>41</v>
      </c>
      <c r="S20" s="144"/>
      <c r="T20" s="149">
        <f>D19/$S$17</f>
        <v>2.0451127819548871</v>
      </c>
      <c r="U20" s="149">
        <f>E19/$S$17</f>
        <v>1.5037593984962405E-2</v>
      </c>
      <c r="V20" s="149">
        <f t="shared" ref="V20:Z20" si="6">F19/$S$17</f>
        <v>7.5187969924812026E-3</v>
      </c>
      <c r="W20" s="149">
        <f t="shared" si="6"/>
        <v>1.1278195488721805</v>
      </c>
      <c r="X20" s="149">
        <f t="shared" si="6"/>
        <v>0.45112781954887216</v>
      </c>
      <c r="Y20" s="149">
        <f t="shared" si="6"/>
        <v>90.225563909774436</v>
      </c>
      <c r="Z20" s="149">
        <f t="shared" si="6"/>
        <v>1.1278195488721805</v>
      </c>
      <c r="AA20" s="149">
        <f>K19/$S$17</f>
        <v>7.5187969924812026E-3</v>
      </c>
      <c r="AB20" s="149">
        <f>L19/$S$17</f>
        <v>1.1278195488721805E-4</v>
      </c>
      <c r="AC20" s="149">
        <f t="shared" ref="AC20:AE20" si="7">M19/$S$17</f>
        <v>7.5187969924812026E-3</v>
      </c>
      <c r="AD20" s="150">
        <f t="shared" si="7"/>
        <v>0.15037593984962405</v>
      </c>
      <c r="AE20" s="150">
        <f t="shared" si="7"/>
        <v>0.22556390977443608</v>
      </c>
      <c r="AF20" s="145"/>
      <c r="AG20" s="145"/>
      <c r="AH20" s="148" t="s">
        <v>41</v>
      </c>
      <c r="AI20" s="151"/>
      <c r="AJ20" s="149">
        <f>D19/$AI$17</f>
        <v>3.1273958104035091</v>
      </c>
      <c r="AK20" s="149">
        <f>E19/$AI$17</f>
        <v>2.2995557429437565E-2</v>
      </c>
      <c r="AL20" s="149">
        <f t="shared" ref="AL20:AU20" si="8">F19/$AI$17</f>
        <v>1.1497778714718783E-2</v>
      </c>
      <c r="AM20" s="149">
        <f t="shared" si="8"/>
        <v>1.7246668072078175</v>
      </c>
      <c r="AN20" s="149">
        <f t="shared" si="8"/>
        <v>0.689866722883127</v>
      </c>
      <c r="AO20" s="149">
        <f t="shared" si="8"/>
        <v>137.97334457662541</v>
      </c>
      <c r="AP20" s="149">
        <f t="shared" si="8"/>
        <v>1.7246668072078175</v>
      </c>
      <c r="AQ20" s="149">
        <f t="shared" si="8"/>
        <v>1.1497778714718783E-2</v>
      </c>
      <c r="AR20" s="149">
        <f t="shared" si="8"/>
        <v>1.7246668072078174E-4</v>
      </c>
      <c r="AS20" s="149">
        <f t="shared" si="8"/>
        <v>1.1497778714718783E-2</v>
      </c>
      <c r="AT20" s="149">
        <f t="shared" si="8"/>
        <v>0.22995557429437566</v>
      </c>
      <c r="AU20" s="149">
        <f t="shared" si="8"/>
        <v>0.3449333614415635</v>
      </c>
      <c r="AV20" s="145"/>
      <c r="AW20" s="145"/>
      <c r="AX20" s="145"/>
      <c r="AY20" s="145"/>
      <c r="AZ20" s="145"/>
      <c r="BA20" s="145"/>
      <c r="BB20" s="145"/>
    </row>
    <row r="22" spans="1:54" ht="18.5" hidden="1" x14ac:dyDescent="0.45">
      <c r="C22" s="152"/>
      <c r="D22" s="153" t="s">
        <v>42</v>
      </c>
      <c r="R22" s="152"/>
      <c r="S22" s="156" t="s">
        <v>42</v>
      </c>
      <c r="AH22" s="152"/>
      <c r="AI22" s="157" t="s">
        <v>42</v>
      </c>
    </row>
    <row r="23" spans="1:54" ht="18.5" hidden="1" x14ac:dyDescent="0.45">
      <c r="D23" s="159" t="s">
        <v>43</v>
      </c>
      <c r="R23" s="158"/>
      <c r="S23" s="160" t="s">
        <v>44</v>
      </c>
      <c r="AH23" s="158"/>
      <c r="AI23" s="161" t="s">
        <v>44</v>
      </c>
    </row>
    <row r="24" spans="1:54" ht="21" hidden="1" x14ac:dyDescent="0.5">
      <c r="D24" s="162" t="s">
        <v>45</v>
      </c>
      <c r="R24" s="163"/>
      <c r="S24" s="160" t="s">
        <v>46</v>
      </c>
      <c r="AH24" s="163"/>
    </row>
    <row r="25" spans="1:54" hidden="1" x14ac:dyDescent="0.35">
      <c r="C25" s="165"/>
    </row>
  </sheetData>
  <mergeCells count="21">
    <mergeCell ref="B12:B16"/>
    <mergeCell ref="Q12:Q16"/>
    <mergeCell ref="AG12:AG16"/>
    <mergeCell ref="AM2:AP2"/>
    <mergeCell ref="AQ2:AU2"/>
    <mergeCell ref="B4:B7"/>
    <mergeCell ref="Q4:Q7"/>
    <mergeCell ref="AG4:AG7"/>
    <mergeCell ref="B8:B11"/>
    <mergeCell ref="Q8:Q11"/>
    <mergeCell ref="AG8:AG11"/>
    <mergeCell ref="C1:O1"/>
    <mergeCell ref="R1:AE1"/>
    <mergeCell ref="AH1:AU1"/>
    <mergeCell ref="D2:F2"/>
    <mergeCell ref="G2:J2"/>
    <mergeCell ref="K2:O2"/>
    <mergeCell ref="T2:V2"/>
    <mergeCell ref="W2:Z2"/>
    <mergeCell ref="AA2:AE2"/>
    <mergeCell ref="AJ2:AL2"/>
  </mergeCells>
  <conditionalFormatting sqref="D4:D16">
    <cfRule type="colorScale" priority="3">
      <colorScale>
        <cfvo type="min"/>
        <cfvo type="formula" val="$D$20/2"/>
        <cfvo type="formula" val="$D$20"/>
        <color rgb="FFFF0000"/>
        <color rgb="FFFFFF00"/>
        <color rgb="FF00B050"/>
      </colorScale>
    </cfRule>
  </conditionalFormatting>
  <conditionalFormatting sqref="E4:E16">
    <cfRule type="colorScale" priority="113">
      <colorScale>
        <cfvo type="formula" val="$E$20"/>
        <cfvo type="num" val="0"/>
        <cfvo type="formula" val="$E$19"/>
        <color rgb="FFFF0000"/>
        <color rgb="FFFFFF00"/>
        <color rgb="FF00B050"/>
      </colorScale>
    </cfRule>
    <cfRule type="colorScale" priority="114">
      <colorScale>
        <cfvo type="min"/>
        <cfvo type="formula" val="&quot;MAX($A$1:$C$10)/2&quot;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6">
    <cfRule type="colorScale" priority="116">
      <colorScale>
        <cfvo type="num" val="0"/>
        <cfvo type="num" val="0.5"/>
        <cfvo type="formula" val="$F$20"/>
        <color rgb="FFFF0000"/>
        <color rgb="FFFFFF00"/>
        <color rgb="FF00B050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6">
    <cfRule type="colorScale" priority="118">
      <colorScale>
        <cfvo type="min"/>
        <cfvo type="formula" val="$G$20/2"/>
        <cfvo type="formula" val="$G$20"/>
        <color rgb="FFFF0000"/>
        <color rgb="FFFFFF00"/>
        <color rgb="FF00B050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6">
    <cfRule type="colorScale" priority="120">
      <colorScale>
        <cfvo type="min"/>
        <cfvo type="formula" val="$H$20/2"/>
        <cfvo type="formula" val="$H$20"/>
        <color rgb="FFFF0000"/>
        <color rgb="FFFFFF00"/>
        <color rgb="FF00B050"/>
      </colorScale>
    </cfRule>
  </conditionalFormatting>
  <conditionalFormatting sqref="I4:I16">
    <cfRule type="colorScale" priority="121">
      <colorScale>
        <cfvo type="min"/>
        <cfvo type="formula" val="$I$20/2"/>
        <cfvo type="formula" val="$I$20"/>
        <color rgb="FFFF0000"/>
        <color rgb="FFFFFF00"/>
        <color rgb="FF00B050"/>
      </colorScale>
    </cfRule>
  </conditionalFormatting>
  <conditionalFormatting sqref="J4:J16">
    <cfRule type="colorScale" priority="122">
      <colorScale>
        <cfvo type="min"/>
        <cfvo type="formula" val="$J$20/2"/>
        <cfvo type="formula" val="$J$20"/>
        <color rgb="FFFF0000"/>
        <color rgb="FFFFFF00"/>
        <color rgb="FF00B050"/>
      </colorScale>
    </cfRule>
  </conditionalFormatting>
  <conditionalFormatting sqref="K5 M6">
    <cfRule type="colorScale" priority="107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L6">
    <cfRule type="colorScale" priority="15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20">
      <colorScale>
        <cfvo type="min"/>
        <cfvo type="formula" val="MAX($AC$4:$AC$16)/2"/>
        <cfvo type="max"/>
        <color rgb="FFF8696B"/>
        <color rgb="FFFFEB84"/>
        <color rgb="FF63BE7B"/>
      </colorScale>
    </cfRule>
    <cfRule type="colorScale" priority="21">
      <colorScale>
        <cfvo type="min"/>
        <cfvo type="formula" val="MAX($AB$4:$AB$16)/2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K4:M4">
    <cfRule type="colorScale" priority="37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42">
      <colorScale>
        <cfvo type="min"/>
        <cfvo type="formula" val="MAX($AC$4:$AC$16)/2"/>
        <cfvo type="max"/>
        <color rgb="FFF8696B"/>
        <color rgb="FFFFEB84"/>
        <color rgb="FF63BE7B"/>
      </colorScale>
    </cfRule>
    <cfRule type="colorScale" priority="43">
      <colorScale>
        <cfvo type="min"/>
        <cfvo type="formula" val="MAX($AB$4:$AB$16)/2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K7:M16">
    <cfRule type="colorScale" priority="4">
      <colorScale>
        <cfvo type="min"/>
        <cfvo type="formula" val="0.75"/>
        <cfvo type="max"/>
        <color rgb="FFF8696B"/>
        <color rgb="FF00B050"/>
        <color rgb="FFFFFF00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9">
      <colorScale>
        <cfvo type="min"/>
        <cfvo type="formula" val="MAX($AC$4:$AC$16)/2"/>
        <cfvo type="max"/>
        <color rgb="FFF8696B"/>
        <color rgb="FFFFEB84"/>
        <color rgb="FF63BE7B"/>
      </colorScale>
    </cfRule>
    <cfRule type="colorScale" priority="10">
      <colorScale>
        <cfvo type="min"/>
        <cfvo type="formula" val="MAX($AB$4:$AB$16)/2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L5 M6">
    <cfRule type="colorScale" priority="106">
      <colorScale>
        <cfvo type="min"/>
        <cfvo type="formula" val="MAX($L$4:$L$16)/2"/>
        <cfvo type="max"/>
        <color rgb="FFF8696B"/>
        <color rgb="FFFFEB84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">
    <cfRule type="colorScale" priority="87">
      <colorScale>
        <cfvo type="min"/>
        <cfvo type="formula" val="MAX($L$4:$L$16)/2"/>
        <cfvo type="max"/>
        <color rgb="FFF8696B"/>
        <color rgb="FFFFEB84"/>
        <color rgb="FF63BE7B"/>
      </colorScale>
    </cfRule>
  </conditionalFormatting>
  <conditionalFormatting sqref="M5">
    <cfRule type="colorScale" priority="26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31">
      <colorScale>
        <cfvo type="min"/>
        <cfvo type="formula" val="MAX($AC$4:$AC$16)/2"/>
        <cfvo type="max"/>
        <color rgb="FFF8696B"/>
        <color rgb="FFFFEB84"/>
        <color rgb="FF63BE7B"/>
      </colorScale>
    </cfRule>
    <cfRule type="colorScale" priority="32">
      <colorScale>
        <cfvo type="min"/>
        <cfvo type="formula" val="MAX($AB$4:$AB$16)/2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N4:N16">
    <cfRule type="colorScale" priority="123">
      <colorScale>
        <cfvo type="min"/>
        <cfvo type="formula" val="$N$20/2"/>
        <cfvo type="formula" val="$N$20"/>
        <color rgb="FFFF0000"/>
        <color rgb="FFFFFF00"/>
        <color rgb="FF00B050"/>
      </colorScale>
    </cfRule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6">
    <cfRule type="colorScale" priority="125">
      <colorScale>
        <cfvo type="min"/>
        <cfvo type="formula" val="$O$20/2"/>
        <cfvo type="formula" val="$O$20"/>
        <color rgb="FFFF0000"/>
        <color rgb="FFFFFF00"/>
        <color rgb="FF00B050"/>
      </colorScale>
    </cfRule>
  </conditionalFormatting>
  <conditionalFormatting sqref="T4:T16">
    <cfRule type="colorScale" priority="126">
      <colorScale>
        <cfvo type="min"/>
        <cfvo type="formula" val="$T$20/2"/>
        <cfvo type="formula" val="$T$20"/>
        <color rgb="FFFF0000"/>
        <color rgb="FFFFFF00"/>
        <color rgb="FF00B050"/>
      </colorScale>
    </cfRule>
  </conditionalFormatting>
  <conditionalFormatting sqref="U4:U16">
    <cfRule type="colorScale" priority="127">
      <colorScale>
        <cfvo type="min"/>
        <cfvo type="formula" val="$U$20/2"/>
        <cfvo type="formula" val="$U$20"/>
        <color rgb="FFFF0000"/>
        <color rgb="FFFFFF00"/>
        <color rgb="FF00B050"/>
      </colorScale>
    </cfRule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6">
    <cfRule type="colorScale" priority="130">
      <colorScale>
        <cfvo type="min"/>
        <cfvo type="formula" val="$V$20/2"/>
        <cfvo type="formula" val="$V$20"/>
        <color rgb="FFFF0000"/>
        <color rgb="FFFFFF00"/>
        <color rgb="FF00B050"/>
      </colorScale>
    </cfRule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16">
    <cfRule type="colorScale" priority="133">
      <colorScale>
        <cfvo type="min"/>
        <cfvo type="formula" val="$W$20/2"/>
        <cfvo type="formula" val="$W$20"/>
        <color rgb="FFFF0000"/>
        <color rgb="FFFFFF00"/>
        <color rgb="FF00B050"/>
      </colorScale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:X16">
    <cfRule type="colorScale" priority="136">
      <colorScale>
        <cfvo type="min"/>
        <cfvo type="formula" val="$X$20/2"/>
        <cfvo type="formula" val="$X$20"/>
        <color rgb="FFFF0000"/>
        <color rgb="FFFFFF00"/>
        <color rgb="FF00B050"/>
      </colorScale>
    </cfRule>
  </conditionalFormatting>
  <conditionalFormatting sqref="Y4:Y16">
    <cfRule type="colorScale" priority="137">
      <colorScale>
        <cfvo type="min"/>
        <cfvo type="formula" val="$Y$20/2"/>
        <cfvo type="formula" val="$Y$20"/>
        <color rgb="FFFF0000"/>
        <color rgb="FFFFFF00"/>
        <color rgb="FF00B050"/>
      </colorScale>
    </cfRule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Z16">
    <cfRule type="colorScale" priority="139">
      <colorScale>
        <cfvo type="min"/>
        <cfvo type="formula" val="$Z$20/2"/>
        <cfvo type="formula" val="$Z$20"/>
        <color rgb="FFFF0000"/>
        <color rgb="FFFFFF00"/>
        <color rgb="FF00B050"/>
      </colorScale>
    </cfRule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A16">
    <cfRule type="colorScale" priority="2">
      <colorScale>
        <cfvo type="min"/>
        <cfvo type="formula" val="$AA$20/2"/>
        <cfvo type="formula" val="$AA$20"/>
        <color rgb="FFFF0000"/>
        <color rgb="FFFFEB84"/>
        <color rgb="FF00B050"/>
      </colorScale>
    </cfRule>
  </conditionalFormatting>
  <conditionalFormatting sqref="AB4:AB16">
    <cfRule type="colorScale" priority="71">
      <colorScale>
        <cfvo type="min"/>
        <cfvo type="formula" val="$AB$20"/>
        <color rgb="FFF8696B"/>
        <color rgb="FF00B050"/>
      </colorScale>
    </cfRule>
  </conditionalFormatting>
  <conditionalFormatting sqref="AC4">
    <cfRule type="colorScale" priority="100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AC4:AC16">
    <cfRule type="colorScale" priority="89">
      <colorScale>
        <cfvo type="min"/>
        <cfvo type="formula" val="MAX($AC$4:$AC$16)/2"/>
        <cfvo type="max"/>
        <color rgb="FFF8696B"/>
        <color rgb="FFFFEB84"/>
        <color rgb="FF63BE7B"/>
      </colorScale>
    </cfRule>
  </conditionalFormatting>
  <conditionalFormatting sqref="AC5">
    <cfRule type="colorScale" priority="82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05">
      <colorScale>
        <cfvo type="min"/>
        <cfvo type="formula" val="MAX($AB$4:$AB$16)/2"/>
        <cfvo type="max"/>
        <color rgb="FFF8696B"/>
        <color rgb="FFFFEB84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:AC16">
    <cfRule type="colorScale" priority="95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AC7:AC16">
    <cfRule type="colorScale" priority="72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77">
      <colorScale>
        <cfvo type="min"/>
        <cfvo type="formula" val="MAX($AB$4:$AB$16)/2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AD4:AD16">
    <cfRule type="colorScale" priority="141">
      <colorScale>
        <cfvo type="min"/>
        <cfvo type="formula" val="$AD$20/2"/>
        <cfvo type="formula" val="$AD$20"/>
        <color rgb="FFFF0000"/>
        <color rgb="FFFFFF00"/>
        <color rgb="FF00B050"/>
      </colorScale>
    </cfRule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:AE16">
    <cfRule type="colorScale" priority="144">
      <colorScale>
        <cfvo type="min"/>
        <cfvo type="formula" val="$AE$20/2"/>
        <cfvo type="formula" val="$AE$20"/>
        <color rgb="FFFF0000"/>
        <color rgb="FFFFFF00"/>
        <color rgb="FF00B050"/>
      </colorScale>
    </cfRule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AJ4:AJ16">
    <cfRule type="colorScale" priority="149">
      <colorScale>
        <cfvo type="min"/>
        <cfvo type="formula" val="$AJ$20/2"/>
        <cfvo type="formula" val="$AJ$20"/>
        <color rgb="FFFF0000"/>
        <color rgb="FFFFFF00"/>
        <color rgb="FF00B050"/>
      </colorScale>
    </cfRule>
  </conditionalFormatting>
  <conditionalFormatting sqref="AK4:AK16">
    <cfRule type="colorScale" priority="150">
      <colorScale>
        <cfvo type="min"/>
        <cfvo type="formula" val="$AK$20/2"/>
        <cfvo type="formula" val="$AK$20"/>
        <color rgb="FFFF0000"/>
        <color rgb="FFFFFF00"/>
        <color rgb="FF00B050"/>
      </colorScale>
    </cfRule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16">
    <cfRule type="colorScale" priority="153">
      <colorScale>
        <cfvo type="min"/>
        <cfvo type="formula" val="$AL$20/2"/>
        <cfvo type="formula" val="$AL$20"/>
        <color rgb="FFFF0000"/>
        <color rgb="FFFFFF00"/>
        <color rgb="FF00B050"/>
      </colorScale>
    </cfRule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16">
    <cfRule type="colorScale" priority="156">
      <colorScale>
        <cfvo type="min"/>
        <cfvo type="formula" val="$AM$20/2"/>
        <cfvo type="formula" val="$AM$20"/>
        <color rgb="FFFF0000"/>
        <color rgb="FFFFFF00"/>
        <color rgb="FF00B050"/>
      </colorScale>
    </cfRule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:AN16">
    <cfRule type="colorScale" priority="159">
      <colorScale>
        <cfvo type="min"/>
        <cfvo type="formula" val="$AN$20/2"/>
        <cfvo type="formula" val="$AN$20"/>
        <color rgb="FFFF0000"/>
        <color rgb="FFFFFF00"/>
        <color rgb="FF00B050"/>
      </colorScale>
    </cfRule>
  </conditionalFormatting>
  <conditionalFormatting sqref="AO4:AO16">
    <cfRule type="colorScale" priority="160">
      <colorScale>
        <cfvo type="min"/>
        <cfvo type="formula" val="$AO$20/2"/>
        <cfvo type="formula" val="$AO$20"/>
        <color rgb="FFFF0000"/>
        <color rgb="FFFFFF00"/>
        <color rgb="FF00B050"/>
      </colorScale>
    </cfRule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:AP16">
    <cfRule type="colorScale" priority="162">
      <colorScale>
        <cfvo type="min"/>
        <cfvo type="formula" val="$AP$20/2"/>
        <cfvo type="formula" val="$AP$20"/>
        <color rgb="FFFF0000"/>
        <color rgb="FFFFFF00"/>
        <color rgb="FF00B050"/>
      </colorScale>
    </cfRule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Q16">
    <cfRule type="colorScale" priority="1">
      <colorScale>
        <cfvo type="min"/>
        <cfvo type="formula" val="$AQ$20/2"/>
        <cfvo type="formula" val="$AQ$20"/>
        <color rgb="FFFF0000"/>
        <color rgb="FFFFEB84"/>
        <color rgb="FF00B050"/>
      </colorScale>
    </cfRule>
  </conditionalFormatting>
  <conditionalFormatting sqref="AR4:AR16">
    <cfRule type="colorScale" priority="70">
      <colorScale>
        <cfvo type="min"/>
        <cfvo type="formula" val="$AR$20/2"/>
        <cfvo type="formula" val="$AR$20"/>
        <color rgb="FFFF0000"/>
        <color rgb="FFFFFF00"/>
        <color rgb="FF00B050"/>
      </colorScale>
    </cfRule>
  </conditionalFormatting>
  <conditionalFormatting sqref="AS4:AS5">
    <cfRule type="colorScale" priority="48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53">
      <colorScale>
        <cfvo type="min"/>
        <cfvo type="formula" val="MAX($AC$4:$AC$16)/2"/>
        <cfvo type="max"/>
        <color rgb="FFF8696B"/>
        <color rgb="FFFFEB84"/>
        <color rgb="FF63BE7B"/>
      </colorScale>
    </cfRule>
    <cfRule type="colorScale" priority="54">
      <colorScale>
        <cfvo type="min"/>
        <cfvo type="formula" val="MAX($AB$4:$AB$16)/2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AS6">
    <cfRule type="colorScale" priority="88">
      <colorScale>
        <cfvo type="min"/>
        <cfvo type="formula" val="MAX($AS$4:$AS$16)/2"/>
        <cfvo type="max"/>
        <color rgb="FFF8696B"/>
        <color rgb="FFFFEB84"/>
        <color rgb="FF63BE7B"/>
      </colorScale>
    </cfRule>
    <cfRule type="colorScale" priority="90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AS7:AS16">
    <cfRule type="colorScale" priority="59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64">
      <colorScale>
        <cfvo type="min"/>
        <cfvo type="formula" val="MAX($AC$4:$AC$16)/2"/>
        <cfvo type="max"/>
        <color rgb="FFF8696B"/>
        <color rgb="FFFFEB84"/>
        <color rgb="FF63BE7B"/>
      </colorScale>
    </cfRule>
    <cfRule type="colorScale" priority="65">
      <colorScale>
        <cfvo type="min"/>
        <cfvo type="formula" val="MAX($AB$4:$AB$16)/2"/>
        <cfvo type="max"/>
        <color rgb="FFF8696B"/>
        <color rgb="FFFFEB84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AT4:AT16">
    <cfRule type="colorScale" priority="164">
      <colorScale>
        <cfvo type="min"/>
        <cfvo type="formula" val="$AT$20/2"/>
        <cfvo type="formula" val="$AT$20"/>
        <color rgb="FFFF0000"/>
        <color rgb="FFFFFF00"/>
        <color rgb="FF00B050"/>
      </colorScale>
    </cfRule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16">
    <cfRule type="colorScale" priority="167">
      <colorScale>
        <cfvo type="min"/>
        <cfvo type="formula" val="$AU$20/2"/>
        <cfvo type="formula" val="$AU$20"/>
        <color rgb="FFFF0000"/>
        <color rgb="FFFFFF00"/>
        <color rgb="FF00B050"/>
      </colorScale>
    </cfRule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">
      <colorScale>
        <cfvo type="num" val="0"/>
        <cfvo type="num" val="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8" scale="60" orientation="landscape" r:id="rId1"/>
  <colBreaks count="1" manualBreakCount="1">
    <brk id="23" max="1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Res, Cap, Product</vt:lpstr>
      <vt:lpstr>'Res, Cap, Product'!Print_Area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Lewis, Sabra (IITA)</cp:lastModifiedBy>
  <dcterms:created xsi:type="dcterms:W3CDTF">2026-04-03T09:14:52Z</dcterms:created>
  <dcterms:modified xsi:type="dcterms:W3CDTF">2026-04-03T09:15:43Z</dcterms:modified>
</cp:coreProperties>
</file>